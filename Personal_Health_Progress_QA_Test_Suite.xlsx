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— Overview &amp; Scope" sheetId="1" r:id="rId4"/>
    <sheet state="visible" name="02 — Test Cases" sheetId="2" r:id="rId5"/>
    <sheet state="visible" name="03 — Traceability Matrix" sheetId="3" r:id="rId6"/>
  </sheets>
  <definedNames/>
  <calcPr/>
  <extLst>
    <ext uri="GoogleSheetsCustomDataVersion2">
      <go:sheetsCustomData xmlns:go="http://customooxmlschemas.google.com/" r:id="rId7" roundtripDataChecksum="RIsVQCKQlhyAP+qkCukpzk+kc87/1Ex1suQ25lSS9TY="/>
    </ext>
  </extLst>
</workbook>
</file>

<file path=xl/sharedStrings.xml><?xml version="1.0" encoding="utf-8"?>
<sst xmlns="http://schemas.openxmlformats.org/spreadsheetml/2006/main" count="513" uniqueCount="341">
  <si>
    <t>Requirements Traceability Matrix (RTM)</t>
  </si>
  <si>
    <t>Personal Health &amp; Progress Dashboard — Test Suite Overview</t>
  </si>
  <si>
    <t>Personal Health &amp; Progress — Test Cases Specification</t>
  </si>
  <si>
    <t>Detailed verification steps, expected results, and test execution outcomes.</t>
  </si>
  <si>
    <t>Mapping PRD requirements to design components, test cases, and verification coverage.</t>
  </si>
  <si>
    <t>Quality Assurance Test Plan, Execution Metrics, and Verification Summary</t>
  </si>
  <si>
    <t>Test Case ID</t>
  </si>
  <si>
    <t>Req ID</t>
  </si>
  <si>
    <t>TOTAL REQUIREMENTS</t>
  </si>
  <si>
    <t>Module</t>
  </si>
  <si>
    <t>Requirement Category</t>
  </si>
  <si>
    <t>Requirement Ref</t>
  </si>
  <si>
    <t>Requirement Description</t>
  </si>
  <si>
    <t>Test Description / Scenario</t>
  </si>
  <si>
    <t>Preconditions &amp; Input Data</t>
  </si>
  <si>
    <t>Target Sheet / Component</t>
  </si>
  <si>
    <t>Test Steps</t>
  </si>
  <si>
    <t>Associated Test Case ID</t>
  </si>
  <si>
    <t>Expected Result</t>
  </si>
  <si>
    <t>Verification Method</t>
  </si>
  <si>
    <t>Actual Result</t>
  </si>
  <si>
    <t>Coverage Status</t>
  </si>
  <si>
    <t>Status</t>
  </si>
  <si>
    <t>TC-LOG-01</t>
  </si>
  <si>
    <t>FR-01</t>
  </si>
  <si>
    <t>Daily Data Tracking</t>
  </si>
  <si>
    <t>TOTAL TEST CASES</t>
  </si>
  <si>
    <t>Daily Log</t>
  </si>
  <si>
    <t>Provide one primary sheet for entering daily information</t>
  </si>
  <si>
    <t>Verify single-row daily entry structure</t>
  </si>
  <si>
    <t>Blank Daily Log sheet</t>
  </si>
  <si>
    <t>02 — Daily Log</t>
  </si>
  <si>
    <t>1. Navigate to '02 — Daily Log'
2. Enter Date, Weight, Calories, Steps</t>
  </si>
  <si>
    <t>Functional Test</t>
  </si>
  <si>
    <t>Data accepts correctly; row records complete daily metrics</t>
  </si>
  <si>
    <t>PASSED TESTS</t>
  </si>
  <si>
    <t>Data saved successfully; row formatted correctly</t>
  </si>
  <si>
    <t>COVERED</t>
  </si>
  <si>
    <t>PASS</t>
  </si>
  <si>
    <t>FR-02</t>
  </si>
  <si>
    <t>TC-LOG-02</t>
  </si>
  <si>
    <t>Weight Tracking</t>
  </si>
  <si>
    <t>Record daily weight and calculate 7-day rolling average</t>
  </si>
  <si>
    <t>Verify 7-day rolling weight average calculation</t>
  </si>
  <si>
    <t>02 — Daily Log (Col D)</t>
  </si>
  <si>
    <t>7 consecutive weight entries in Daily Log</t>
  </si>
  <si>
    <t>1. Input weights: 82.5, 82.3, 82.1, 82.0, 81.8, 81.7, 81.5
2. Check column D (7-Day Avg)</t>
  </si>
  <si>
    <t>Formula Inspection</t>
  </si>
  <si>
    <t>Column D displays 81.99 kg automatically without manual formula edit</t>
  </si>
  <si>
    <t>Column D calculated 81.99 kg dynamically</t>
  </si>
  <si>
    <t>TC-LOG-03</t>
  </si>
  <si>
    <t>FR-03</t>
  </si>
  <si>
    <t>Calorie Tracking</t>
  </si>
  <si>
    <t>Calculate average daily calories and target variance</t>
  </si>
  <si>
    <t>Verify calorie variance calculation</t>
  </si>
  <si>
    <t>02 — Daily Log / Analytics</t>
  </si>
  <si>
    <t>Target Calories = 1800 in Settings</t>
  </si>
  <si>
    <t>Calculated Test</t>
  </si>
  <si>
    <t>1. Enter 1950 kcal in Daily Log
2. Check calculated variance on Analytics tab</t>
  </si>
  <si>
    <t>Variance displays +150 kcal over target</t>
  </si>
  <si>
    <t>FR-04</t>
  </si>
  <si>
    <t>Variance accurately reported as +150 kcal</t>
  </si>
  <si>
    <t>Activity Tracking</t>
  </si>
  <si>
    <t>Record steps, workout completion, and calculate consistency %</t>
  </si>
  <si>
    <t>TC-LOG-04</t>
  </si>
  <si>
    <t>Aggregation Test</t>
  </si>
  <si>
    <t>Verify step average &amp; workout consistency count</t>
  </si>
  <si>
    <t>FR-05</t>
  </si>
  <si>
    <t>30 days of logging with 18 'Yes' workout entries</t>
  </si>
  <si>
    <t>Water Tracking</t>
  </si>
  <si>
    <t>1. View Analytics tab
2. Check Workout Consistency %</t>
  </si>
  <si>
    <t>Record daily water intake and progress toward daily goal</t>
  </si>
  <si>
    <t>Consistency displays 60.0% (18/30)</t>
  </si>
  <si>
    <t>TC-LOG-05</t>
  </si>
  <si>
    <t>Calculated exactly 60.0%</t>
  </si>
  <si>
    <t>Progress Test</t>
  </si>
  <si>
    <t>FR-06</t>
  </si>
  <si>
    <t>Sleep Tracking</t>
  </si>
  <si>
    <t>Record sleep duration and calculate min/max/avg sleep</t>
  </si>
  <si>
    <t>Verify water intake target progress</t>
  </si>
  <si>
    <t>TC-LOG-06</t>
  </si>
  <si>
    <t>Water Target = 2500 ml</t>
  </si>
  <si>
    <t>Summary Test</t>
  </si>
  <si>
    <t>1. Enter 2000 ml on Daily Log
2. Verify visual percentage on Analytics</t>
  </si>
  <si>
    <t>FR-07</t>
  </si>
  <si>
    <t>Displays 80.0% water goal progress</t>
  </si>
  <si>
    <t>Mood Tracking</t>
  </si>
  <si>
    <t>Displays 80.0% accurately</t>
  </si>
  <si>
    <t>Select daily mood using predefined dropdown list</t>
  </si>
  <si>
    <t>02 — Daily Log (Col J)</t>
  </si>
  <si>
    <t>TC-LOG-07</t>
  </si>
  <si>
    <t>Data Validation</t>
  </si>
  <si>
    <t>FR-08</t>
  </si>
  <si>
    <t>Verify sleep duration min/max/avg tracking</t>
  </si>
  <si>
    <t>Goals &amp; Settings</t>
  </si>
  <si>
    <t>Logged sleep hours between 6.5 and 8.5 hrs</t>
  </si>
  <si>
    <t>Configure user profile, start weight, target weight, dates</t>
  </si>
  <si>
    <t>1. Review Analytics summary table</t>
  </si>
  <si>
    <t>03 — Goals &amp; Settings</t>
  </si>
  <si>
    <t>Average, Min, and Max sleep duration calculated dynamically</t>
  </si>
  <si>
    <t>TC-SET-01</t>
  </si>
  <si>
    <t>Min=6.5, Max=8.5, Avg=7.6 hrs matched</t>
  </si>
  <si>
    <t>Config Test</t>
  </si>
  <si>
    <t>FR-09</t>
  </si>
  <si>
    <t>Goal Progress</t>
  </si>
  <si>
    <t>Verify mood selector dropdown options</t>
  </si>
  <si>
    <t>Calculate total weight change, remaining amount, and progress %</t>
  </si>
  <si>
    <t>01 — Dashboard (KPI 4)</t>
  </si>
  <si>
    <t>Mood column in Daily Log</t>
  </si>
  <si>
    <t>TC-SET-02</t>
  </si>
  <si>
    <t>1. Click cell in Mood column
2. Observe dropdown list options</t>
  </si>
  <si>
    <t>Dropdown displays 5 emojis: 😍 Great, 😊 Good, 😐 Okay, 😕 Low, 😩 Bad</t>
  </si>
  <si>
    <t>All 5 mood options rendered correctly</t>
  </si>
  <si>
    <t>FR-10</t>
  </si>
  <si>
    <t>Target Date</t>
  </si>
  <si>
    <t>Display target date, days remaining, and period elapsed</t>
  </si>
  <si>
    <t>01 — Dashboard</t>
  </si>
  <si>
    <t>TC-SET-03</t>
  </si>
  <si>
    <t>Date Math Test</t>
  </si>
  <si>
    <t>Verify user profile configuration parameters</t>
  </si>
  <si>
    <t>FR-11</t>
  </si>
  <si>
    <t>Blank Goals &amp; Settings tab</t>
  </si>
  <si>
    <t>Dashboard Overview</t>
  </si>
  <si>
    <t>1. Input Start Wt=82.5, Target Wt=72.0, Start Date=2026-08-01</t>
  </si>
  <si>
    <t>Landing page with immediate status overview &amp; KPI cards</t>
  </si>
  <si>
    <t>Settings saved and accessible across all workbook formulas</t>
  </si>
  <si>
    <t>Values successfully referenced by Dashboard formulas</t>
  </si>
  <si>
    <t>TC-DASH-01</t>
  </si>
  <si>
    <t>UI / KPI Test</t>
  </si>
  <si>
    <t>FR-12</t>
  </si>
  <si>
    <t>Weight Progress Chart</t>
  </si>
  <si>
    <t>Verify goal completion percentage formula</t>
  </si>
  <si>
    <t>Start=82.5 kg, Current=77.25 kg, Target=72.0 kg</t>
  </si>
  <si>
    <t>Visual weight trend chart with smoothed 7-day average line</t>
  </si>
  <si>
    <t>1. Check Dashboard 'Goal Progress %'</t>
  </si>
  <si>
    <t>Progress calculates exactly 50.0% ((82.5-77.25)/(82.5-72.0))</t>
  </si>
  <si>
    <t>01 — Dashboard (Chart 1)</t>
  </si>
  <si>
    <t>Dashboard displays 50.0%</t>
  </si>
  <si>
    <t>TC-DASH-02</t>
  </si>
  <si>
    <t>Visual Inspection</t>
  </si>
  <si>
    <t>FR-13</t>
  </si>
  <si>
    <t>Calorie Chart</t>
  </si>
  <si>
    <t>Bar chart displaying daily calorie intake vs target baseline</t>
  </si>
  <si>
    <t>Verify target date remaining days calculation</t>
  </si>
  <si>
    <t>01 — Dashboard (Chart 2)</t>
  </si>
  <si>
    <t>Target Date = 2026-11-30, Today = 2026-10-07</t>
  </si>
  <si>
    <t>TC-DASH-03</t>
  </si>
  <si>
    <t>1. Check Target Date section on Dashboard</t>
  </si>
  <si>
    <t>Displays remaining days dynamically</t>
  </si>
  <si>
    <t>FR-14</t>
  </si>
  <si>
    <t>Days remaining calculated correctly</t>
  </si>
  <si>
    <t>Activity Visualization</t>
  </si>
  <si>
    <t>Visual summaries for steps, workout frequency, sleep</t>
  </si>
  <si>
    <t>01 — Dashboard / Analytics</t>
  </si>
  <si>
    <t>Dashboard</t>
  </si>
  <si>
    <t>Verify Dashboard KPI cards auto-update</t>
  </si>
  <si>
    <t>FR-15</t>
  </si>
  <si>
    <t>New entry added in Daily Log</t>
  </si>
  <si>
    <t>Time-Based Analysis</t>
  </si>
  <si>
    <t>1. Add new lowest weight on Daily Log
2. Switch to '01 — Dashboard'</t>
  </si>
  <si>
    <t>Support 30-day time period aggregations and statistics</t>
  </si>
  <si>
    <t>KPI 'Current Weight' updates immediately without manual refresh</t>
  </si>
  <si>
    <t>04 — Analytics</t>
  </si>
  <si>
    <t>TC-ANA-01</t>
  </si>
  <si>
    <t>Current weight card updated automatically</t>
  </si>
  <si>
    <t>FR-16</t>
  </si>
  <si>
    <t>Period Comparison</t>
  </si>
  <si>
    <t>Compare current metrics against targets and min/max values</t>
  </si>
  <si>
    <t>Verify Weight Trend Line Chart rendering</t>
  </si>
  <si>
    <t>TC-ANA-02</t>
  </si>
  <si>
    <t>Comparison Test</t>
  </si>
  <si>
    <t>30 days demo data populated</t>
  </si>
  <si>
    <t>1. Inspect Dashboard Weight Chart</t>
  </si>
  <si>
    <t>FR-17</t>
  </si>
  <si>
    <t>Plots daily weight line alongside 7-day average trend</t>
  </si>
  <si>
    <t>Trend Analysis</t>
  </si>
  <si>
    <t>Chart rendered both series clearly</t>
  </si>
  <si>
    <t>Display weight, calorie, step, and sleep trends</t>
  </si>
  <si>
    <t>Trend Test</t>
  </si>
  <si>
    <t>Verify Calorie Intake vs Target Bar Chart</t>
  </si>
  <si>
    <t>FR-18</t>
  </si>
  <si>
    <t>Consistency Metrics</t>
  </si>
  <si>
    <t>Calorie data entered in Daily Log</t>
  </si>
  <si>
    <t>1. Inspect Dashboard Calorie Chart</t>
  </si>
  <si>
    <t>Calculate adherence % for calorie, step, and workout targets</t>
  </si>
  <si>
    <t>Bar chart highlights daily intake against 1800 kcal baseline</t>
  </si>
  <si>
    <t>TC-ANA-03</t>
  </si>
  <si>
    <t>Bar chart rendered intake trends accurately</t>
  </si>
  <si>
    <t>Adherence Test</t>
  </si>
  <si>
    <t>FR-19</t>
  </si>
  <si>
    <t>TC-DASH-04</t>
  </si>
  <si>
    <t>Goal Milestones</t>
  </si>
  <si>
    <t>Display automated milestone cards (25%, 50%, 75%, 100%)</t>
  </si>
  <si>
    <t>Verify Milestone status dynamic updates</t>
  </si>
  <si>
    <t>Conditional Test</t>
  </si>
  <si>
    <t>Goal Progress reaches 52%</t>
  </si>
  <si>
    <t>1. Check Milestone Tracker on Dashboard</t>
  </si>
  <si>
    <t>UX-01</t>
  </si>
  <si>
    <t>User Experience</t>
  </si>
  <si>
    <t>25% and 50% display '✨ Completed'; 75% displays '⏳ Pending'</t>
  </si>
  <si>
    <t>Simple single-sheet data entry for daily logging</t>
  </si>
  <si>
    <t>Milestones updated status correctly</t>
  </si>
  <si>
    <t>Usability Test</t>
  </si>
  <si>
    <t>Analytics</t>
  </si>
  <si>
    <t>UX-02</t>
  </si>
  <si>
    <t>Automatic calculations without manual formula editing</t>
  </si>
  <si>
    <t>Entire Workbook</t>
  </si>
  <si>
    <t>Verify 30-day time period aggregation</t>
  </si>
  <si>
    <t>TC-UX-01</t>
  </si>
  <si>
    <t>Automation Test</t>
  </si>
  <si>
    <t>30-day demo dataset active</t>
  </si>
  <si>
    <t>UX-03</t>
  </si>
  <si>
    <t>1. Open '04 — Analytics' tab
2. Check 30-day statistics</t>
  </si>
  <si>
    <t>Protected/distinguishable formula cells with soft pink fill</t>
  </si>
  <si>
    <t>Displays overall averages, min, and max for 30-day window</t>
  </si>
  <si>
    <t>TC-UX-02</t>
  </si>
  <si>
    <t>Averages match exact math verification</t>
  </si>
  <si>
    <t>UI Inspection</t>
  </si>
  <si>
    <t>UX-04</t>
  </si>
  <si>
    <t>Predefined dropdowns for mood and workout status</t>
  </si>
  <si>
    <t>Verify period comparisons (Lowest vs Highest Weight)</t>
  </si>
  <si>
    <t>Demo weight range: 78.2 kg to 82.5 kg</t>
  </si>
  <si>
    <t>1. Review Analytics Weight section</t>
  </si>
  <si>
    <t>UX-05</t>
  </si>
  <si>
    <t>Lowest Weight = 78.2 kg, Highest = 82.5 kg</t>
  </si>
  <si>
    <t>Lowest and highest values matched exactly</t>
  </si>
  <si>
    <t>Visual feedback via conditional formatting and milestone badges</t>
  </si>
  <si>
    <t>UI-01</t>
  </si>
  <si>
    <t>Visual Design</t>
  </si>
  <si>
    <t>Verify consistency adherence percentages</t>
  </si>
  <si>
    <t>Cute blush pink, warm cream, and butter yellow visual identity</t>
  </si>
  <si>
    <t>Calorie Target = 1800 (1700-1900 range)</t>
  </si>
  <si>
    <t>TC-UI-01</t>
  </si>
  <si>
    <t>1. Count days in range on Daily Log
2. Compare with Analytics</t>
  </si>
  <si>
    <t>Design Audit</t>
  </si>
  <si>
    <t>Displays correct number of days meeting calorie goal</t>
  </si>
  <si>
    <t>CountIFS returned exact matching days</t>
  </si>
  <si>
    <t>UI-02</t>
  </si>
  <si>
    <t>Cohesive color palette (`#E88D93`, `#FCE4E6`, `#FFF2CC`)</t>
  </si>
  <si>
    <t>Verify zero manual formula editing required</t>
  </si>
  <si>
    <t>User logging daily data</t>
  </si>
  <si>
    <t>UI-04</t>
  </si>
  <si>
    <t>1. Fill 10 daily rows
2. Inspect Dashboard and Analytics</t>
  </si>
  <si>
    <t>Clean, modern typography hierarchy (Segoe UI 16pt/11pt/10pt)</t>
  </si>
  <si>
    <t>All KPIs, milestone statuses, and charts update 100% automatically</t>
  </si>
  <si>
    <t>No manual formula editing needed</t>
  </si>
  <si>
    <t>TC-UI-02</t>
  </si>
  <si>
    <t>DV-01</t>
  </si>
  <si>
    <t>Graceful handling of empty sheets without `#DIV/0!` errors</t>
  </si>
  <si>
    <t>TC-EDGE-01</t>
  </si>
  <si>
    <t>Verify formula cell protection/distinction</t>
  </si>
  <si>
    <t>Edge Case Test</t>
  </si>
  <si>
    <t>Daily Log sheet</t>
  </si>
  <si>
    <t>1. Inspect formula columns vs input columns</t>
  </si>
  <si>
    <t>Formula cells (e.g., 7-Day Avg) filled with soft pink background</t>
  </si>
  <si>
    <t>DV-02</t>
  </si>
  <si>
    <t>Visual distinction clear between input and formula</t>
  </si>
  <si>
    <t>Correct handling of single-day logged metrics</t>
  </si>
  <si>
    <t>01 — Dashboard / Log</t>
  </si>
  <si>
    <t>TC-EDGE-02</t>
  </si>
  <si>
    <t>DV-03</t>
  </si>
  <si>
    <t>Handling skipped/missing daily entries without formula breakdown</t>
  </si>
  <si>
    <t>TC-EDGE-03</t>
  </si>
  <si>
    <t>Verify blush pink &amp; cream theme styling</t>
  </si>
  <si>
    <t>Entire workbook</t>
  </si>
  <si>
    <t>1. Review headers, cards, and tab colors across all 6 sheets</t>
  </si>
  <si>
    <t>Primary headers `#E88D93`, cards `#FCE4E6`, highlights `#FFF2CC`, text `#4A3B32`</t>
  </si>
  <si>
    <t>Palette completely consistent across sheets</t>
  </si>
  <si>
    <t>Verify typography hierarchy &amp; readability</t>
  </si>
  <si>
    <t>Dashboard and Analytics sheets</t>
  </si>
  <si>
    <t>1. Inspect font families, sizes, and weights</t>
  </si>
  <si>
    <t>Titles = Segoe UI 16pt Bold, Headers = 11pt Bold, Data = 10pt Regular</t>
  </si>
  <si>
    <t>Typography hierarchy cleanly formatted</t>
  </si>
  <si>
    <t>Edge Cases</t>
  </si>
  <si>
    <t>Verify behavior with empty Daily Log (No Data)</t>
  </si>
  <si>
    <t>Newly copied blank template</t>
  </si>
  <si>
    <t>1. Open Dashboard with zero rows logged</t>
  </si>
  <si>
    <t>Dashboard displays Start Weight gracefully without `#DIV/0!` or `#N/A` errors</t>
  </si>
  <si>
    <t>Zero formula errors thrown on blank sheet</t>
  </si>
  <si>
    <t>Verify single day of logged data</t>
  </si>
  <si>
    <t>1 row entered in Daily Log</t>
  </si>
  <si>
    <t>1. Enter 1 day of metrics
2. Check 7-day average and KPIs</t>
  </si>
  <si>
    <t>7-day average equals Day 1 weight; KPIs display single-day metrics</t>
  </si>
  <si>
    <t>Handled single day correctly</t>
  </si>
  <si>
    <t>Verify missing/skipped daily entries</t>
  </si>
  <si>
    <t>Entries logged on Day 1, Day 2, then Day 5 (skipped Days 3-4)</t>
  </si>
  <si>
    <t>1. Inspect 7-day average on Day 5</t>
  </si>
  <si>
    <t>Average ignores blank rows and averages existing numerical entries correctly</t>
  </si>
  <si>
    <t>Averaged non-blank values accurately</t>
  </si>
  <si>
    <t>Project &amp; Testing Summary</t>
  </si>
  <si>
    <t>TC-EDGE-04</t>
  </si>
  <si>
    <t>DV-04</t>
  </si>
  <si>
    <t>Verify current weight equals target weight (Goal Reached)</t>
  </si>
  <si>
    <t>Current Weight = 72.0 kg, Target = 72.0 kg</t>
  </si>
  <si>
    <t>1. Set Daily Log weight to 72.0 kg
2. Check Dashboard Progress %</t>
  </si>
  <si>
    <t>Goal Progress displays 100.0%; Milestone displays '🎉 Achieved!'</t>
  </si>
  <si>
    <t>100.0% and Achieved badge displayed</t>
  </si>
  <si>
    <t>TC-EDGE-05</t>
  </si>
  <si>
    <t>DV-05</t>
  </si>
  <si>
    <t>Verify blank optional fields (Notes / Mood missing)</t>
  </si>
  <si>
    <t>Daily Log row with weight and calories but blank Notes/Mood</t>
  </si>
  <si>
    <t>1. Submit row with blank notes
2. Check dashboard calculations</t>
  </si>
  <si>
    <t>Dashboard calculations unaffected by empty string/optional fields</t>
  </si>
  <si>
    <t>Calculations remained fully operational</t>
  </si>
  <si>
    <t>Attribute</t>
  </si>
  <si>
    <t>TC-EDGE-06</t>
  </si>
  <si>
    <t>DV-06</t>
  </si>
  <si>
    <t>Verify boundary high/low numeric inputs</t>
  </si>
  <si>
    <t>Weight = 150 kg, Calories = 4500 kcal</t>
  </si>
  <si>
    <t>1. Enter extreme realistic bounds in Daily Log</t>
  </si>
  <si>
    <t>Workbook processes metrics correctly without layout overflow</t>
  </si>
  <si>
    <t>Handled high boundary numbers cleanly</t>
  </si>
  <si>
    <t>Details &amp; Verification Scope</t>
  </si>
  <si>
    <t>System Name</t>
  </si>
  <si>
    <t>Personal Health &amp; Progress Dashboard</t>
  </si>
  <si>
    <t>Version / Artifact</t>
  </si>
  <si>
    <t>v1.0 (Google Sheets / Excel Template Product)</t>
  </si>
  <si>
    <t>Author / QA Lead</t>
  </si>
  <si>
    <t>Data Analyst &amp; QA Candidate</t>
  </si>
  <si>
    <t>QA Objectives</t>
  </si>
  <si>
    <t>Verify 100% requirements coverage across data tracking, automated formula calculations, UX edge cases, and visual styling guidelines.</t>
  </si>
  <si>
    <t>Testing Strategy</t>
  </si>
  <si>
    <t>Black-box functional testing, data integrity validation, edge case boundary analysis, and cross-sheet formula verification.</t>
  </si>
  <si>
    <t>Overall Quality Status</t>
  </si>
  <si>
    <t>PASSED — All 30 core requirements verified with 100% test execution pass rate.</t>
  </si>
  <si>
    <t>Test Scope Breakdown by Module</t>
  </si>
  <si>
    <t>Functional Area / Module</t>
  </si>
  <si>
    <t>Requirements Count</t>
  </si>
  <si>
    <t>Associated Test Cases</t>
  </si>
  <si>
    <t>Pass Rate</t>
  </si>
  <si>
    <t>Daily Data Tracking (FR-01 - FR-07)</t>
  </si>
  <si>
    <t>TC-LOG-01 to TC-LOG-07</t>
  </si>
  <si>
    <t>100% Pass</t>
  </si>
  <si>
    <t>Goals &amp; Settings (FR-08 - FR-10)</t>
  </si>
  <si>
    <t>TC-SET-01 to TC-SET-04</t>
  </si>
  <si>
    <t>Dashboard &amp; Analytics (FR-11 - FR-18)</t>
  </si>
  <si>
    <t>TC-DASH-01 to TC-ANA-04</t>
  </si>
  <si>
    <t>User Experience &amp; UI (UX-01 - UI-05)</t>
  </si>
  <si>
    <t>TC-UX-01 to TC-UI-02</t>
  </si>
  <si>
    <t>Data Validation &amp; Edge Cases (DV-01 - DV-04)</t>
  </si>
  <si>
    <t>TC-EDGE-01 to TC-EDGE-06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</si>
</sst>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4A3B32"/>
      <name val="Quattrocento Sans"/>
    </font>
    <font>
      <i/>
      <sz val="10.0"/>
      <color rgb="FF7F6E65"/>
      <name val="Quattrocento Sans"/>
    </font>
    <font>
      <b/>
      <sz val="11.0"/>
      <color rgb="FFFFFFFF"/>
      <name val="Quattrocento Sans"/>
    </font>
    <font>
      <b/>
      <sz val="9.0"/>
      <color rgb="FF7F6E65"/>
      <name val="Quattrocento Sans"/>
    </font>
    <font/>
    <font>
      <sz val="10.0"/>
      <color rgb="FF4A3B32"/>
      <name val="Quattrocento Sans"/>
    </font>
    <font>
      <b/>
      <sz val="10.0"/>
      <color rgb="FF274E13"/>
      <name val="Quattrocento Sans"/>
    </font>
    <font>
      <b/>
      <sz val="18.0"/>
      <color rgb="FF4A3B32"/>
      <name val="Quattrocento Sans"/>
    </font>
    <font>
      <b/>
      <sz val="12.0"/>
      <color rgb="FF4A3B32"/>
      <name val="Quattrocento Sans"/>
    </font>
    <font>
      <b/>
      <sz val="10.0"/>
      <color rgb="FF4A3B32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E88D93"/>
        <bgColor rgb="FFE88D93"/>
      </patternFill>
    </fill>
    <fill>
      <patternFill patternType="solid">
        <fgColor rgb="FFFCE4E6"/>
        <bgColor rgb="FFFCE4E6"/>
      </patternFill>
    </fill>
    <fill>
      <patternFill patternType="solid">
        <fgColor rgb="FFD9EAD3"/>
        <bgColor rgb="FFD9EAD3"/>
      </patternFill>
    </fill>
    <fill>
      <patternFill patternType="solid">
        <fgColor rgb="FFFFFDF9"/>
        <bgColor rgb="FFFFFDF9"/>
      </patternFill>
    </fill>
  </fills>
  <borders count="10">
    <border/>
    <border>
      <left style="thin">
        <color rgb="FFE6D7D2"/>
      </left>
      <right style="thin">
        <color rgb="FFE6D7D2"/>
      </right>
      <top style="thin">
        <color rgb="FFE6D7D2"/>
      </top>
      <bottom style="thin">
        <color rgb="FFE6D7D2"/>
      </bottom>
    </border>
    <border>
      <left style="medium">
        <color rgb="FFE88D93"/>
      </left>
      <top style="thin">
        <color rgb="FFE6D7D2"/>
      </top>
      <bottom style="thin">
        <color rgb="FFE6D7D2"/>
      </bottom>
    </border>
    <border>
      <right style="thin">
        <color rgb="FFE6D7D2"/>
      </right>
      <top style="thin">
        <color rgb="FFE6D7D2"/>
      </top>
      <bottom style="thin">
        <color rgb="FFE6D7D2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6D7D2"/>
      </left>
      <top style="thin">
        <color rgb="FFE6D7D2"/>
      </top>
      <bottom style="thin">
        <color rgb="FFE6D7D2"/>
      </bottom>
    </border>
    <border>
      <top style="thin">
        <color rgb="FFE6D7D2"/>
      </top>
      <bottom style="thin">
        <color rgb="FFE6D7D2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2" fillId="5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4" fillId="2" fontId="3" numFmtId="0" xfId="0" applyBorder="1" applyFill="1" applyFont="1"/>
    <xf borderId="5" fillId="2" fontId="3" numFmtId="0" xfId="0" applyBorder="1" applyFill="1" applyFont="1"/>
    <xf borderId="6" fillId="0" fontId="5" numFmtId="0" xfId="0" applyBorder="1" applyFont="1"/>
    <xf borderId="7" fillId="0" fontId="5" numFmtId="0" xfId="0" applyBorder="1" applyFont="1"/>
    <xf borderId="1" fillId="5" fontId="10" numFmtId="0" xfId="0" applyBorder="1" applyFill="1" applyFont="1"/>
    <xf borderId="8" fillId="5" fontId="6" numFmtId="0" xfId="0" applyBorder="1" applyFill="1" applyFont="1"/>
    <xf borderId="9" fillId="0" fontId="5" numFmtId="0" xfId="0" applyBorder="1" applyFont="1"/>
    <xf borderId="1" fillId="3" fontId="10" numFmtId="0" xfId="0" applyBorder="1" applyFill="1" applyFont="1"/>
    <xf borderId="8" fillId="3" fontId="6" numFmtId="0" xfId="0" applyBorder="1" applyFill="1" applyFont="1"/>
    <xf borderId="1" fillId="0" fontId="6" numFmtId="0" xfId="0" applyBorder="1" applyFont="1"/>
    <xf borderId="8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1.29"/>
    <col customWidth="1" min="3" max="3" width="25.0"/>
    <col customWidth="1" min="4" max="4" width="20.0"/>
    <col customWidth="1" min="5" max="5" width="25.0"/>
    <col customWidth="1" min="6" max="6" width="20.0"/>
    <col customWidth="1" min="7" max="7" width="25.0"/>
    <col customWidth="1" min="8" max="26" width="8.71"/>
  </cols>
  <sheetData>
    <row r="2">
      <c r="B2" s="1" t="s">
        <v>1</v>
      </c>
    </row>
    <row r="3">
      <c r="B3" s="2" t="s">
        <v>5</v>
      </c>
    </row>
    <row r="5">
      <c r="B5" s="4" t="s">
        <v>8</v>
      </c>
      <c r="C5" s="5"/>
      <c r="D5" s="4" t="s">
        <v>26</v>
      </c>
      <c r="E5" s="5"/>
      <c r="F5" s="4" t="s">
        <v>35</v>
      </c>
      <c r="G5" s="5"/>
    </row>
    <row r="6">
      <c r="B6" s="11">
        <f>COUNTA('03 — Traceability Matrix'!B6:B35)</f>
        <v>30</v>
      </c>
      <c r="C6" s="5"/>
      <c r="D6" s="11">
        <f>COUNTA('02 — Test Cases'!B6:B35)</f>
        <v>27</v>
      </c>
      <c r="E6" s="5"/>
      <c r="F6" s="11">
        <f>COUNTIF('02 — Test Cases'!J6:J35, "PASS")</f>
        <v>27</v>
      </c>
      <c r="G6" s="5"/>
    </row>
    <row r="9">
      <c r="B9" s="12" t="s">
        <v>289</v>
      </c>
    </row>
    <row r="11">
      <c r="B11" s="13" t="s">
        <v>304</v>
      </c>
      <c r="C11" s="14" t="s">
        <v>312</v>
      </c>
      <c r="D11" s="15"/>
      <c r="E11" s="15"/>
      <c r="F11" s="15"/>
      <c r="G11" s="16"/>
    </row>
    <row r="12" ht="24.0" customHeight="1">
      <c r="B12" s="17" t="s">
        <v>313</v>
      </c>
      <c r="C12" s="18" t="s">
        <v>314</v>
      </c>
      <c r="D12" s="19"/>
      <c r="E12" s="19"/>
      <c r="F12" s="19"/>
      <c r="G12" s="5"/>
    </row>
    <row r="13" ht="24.0" customHeight="1">
      <c r="B13" s="20" t="s">
        <v>315</v>
      </c>
      <c r="C13" s="21" t="s">
        <v>316</v>
      </c>
      <c r="D13" s="19"/>
      <c r="E13" s="19"/>
      <c r="F13" s="19"/>
      <c r="G13" s="5"/>
    </row>
    <row r="14" ht="24.0" customHeight="1">
      <c r="B14" s="17" t="s">
        <v>317</v>
      </c>
      <c r="C14" s="18" t="s">
        <v>318</v>
      </c>
      <c r="D14" s="19"/>
      <c r="E14" s="19"/>
      <c r="F14" s="19"/>
      <c r="G14" s="5"/>
    </row>
    <row r="15" ht="24.0" customHeight="1">
      <c r="B15" s="20" t="s">
        <v>319</v>
      </c>
      <c r="C15" s="21" t="s">
        <v>320</v>
      </c>
      <c r="D15" s="19"/>
      <c r="E15" s="19"/>
      <c r="F15" s="19"/>
      <c r="G15" s="5"/>
    </row>
    <row r="16" ht="24.0" customHeight="1">
      <c r="B16" s="17" t="s">
        <v>321</v>
      </c>
      <c r="C16" s="18" t="s">
        <v>322</v>
      </c>
      <c r="D16" s="19"/>
      <c r="E16" s="19"/>
      <c r="F16" s="19"/>
      <c r="G16" s="5"/>
    </row>
    <row r="17" ht="24.0" customHeight="1">
      <c r="B17" s="20" t="s">
        <v>323</v>
      </c>
      <c r="C17" s="21" t="s">
        <v>324</v>
      </c>
      <c r="D17" s="19"/>
      <c r="E17" s="19"/>
      <c r="F17" s="19"/>
      <c r="G17" s="5"/>
    </row>
    <row r="19">
      <c r="B19" s="12" t="s">
        <v>325</v>
      </c>
    </row>
    <row r="21" ht="15.75" customHeight="1">
      <c r="B21" s="13" t="s">
        <v>326</v>
      </c>
      <c r="C21" s="14" t="s">
        <v>327</v>
      </c>
      <c r="D21" s="16"/>
      <c r="E21" s="14" t="s">
        <v>328</v>
      </c>
      <c r="F21" s="16"/>
      <c r="G21" s="13" t="s">
        <v>329</v>
      </c>
    </row>
    <row r="22" ht="21.75" customHeight="1">
      <c r="B22" s="22" t="s">
        <v>330</v>
      </c>
      <c r="C22" s="23">
        <v>7.0</v>
      </c>
      <c r="D22" s="5"/>
      <c r="E22" s="23" t="s">
        <v>331</v>
      </c>
      <c r="F22" s="5"/>
      <c r="G22" s="8" t="s">
        <v>332</v>
      </c>
    </row>
    <row r="23" ht="21.75" customHeight="1">
      <c r="B23" s="22" t="s">
        <v>333</v>
      </c>
      <c r="C23" s="23">
        <v>4.0</v>
      </c>
      <c r="D23" s="5"/>
      <c r="E23" s="23" t="s">
        <v>334</v>
      </c>
      <c r="F23" s="5"/>
      <c r="G23" s="8" t="s">
        <v>332</v>
      </c>
    </row>
    <row r="24" ht="21.75" customHeight="1">
      <c r="B24" s="22" t="s">
        <v>335</v>
      </c>
      <c r="C24" s="23">
        <v>8.0</v>
      </c>
      <c r="D24" s="5"/>
      <c r="E24" s="23" t="s">
        <v>336</v>
      </c>
      <c r="F24" s="5"/>
      <c r="G24" s="8" t="s">
        <v>332</v>
      </c>
    </row>
    <row r="25" ht="21.75" customHeight="1">
      <c r="B25" s="22" t="s">
        <v>337</v>
      </c>
      <c r="C25" s="23">
        <v>5.0</v>
      </c>
      <c r="D25" s="5"/>
      <c r="E25" s="23" t="s">
        <v>338</v>
      </c>
      <c r="F25" s="5"/>
      <c r="G25" s="8" t="s">
        <v>332</v>
      </c>
    </row>
    <row r="26" ht="21.75" customHeight="1">
      <c r="B26" s="22" t="s">
        <v>339</v>
      </c>
      <c r="C26" s="23">
        <v>6.0</v>
      </c>
      <c r="D26" s="5"/>
      <c r="E26" s="23" t="s">
        <v>340</v>
      </c>
      <c r="F26" s="5"/>
      <c r="G26" s="8" t="s">
        <v>332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5:C5"/>
    <mergeCell ref="D5:E5"/>
    <mergeCell ref="F5:G5"/>
    <mergeCell ref="B6:C6"/>
    <mergeCell ref="D6:E6"/>
    <mergeCell ref="F6:G6"/>
    <mergeCell ref="C11:G11"/>
    <mergeCell ref="C12:G12"/>
    <mergeCell ref="C13:G13"/>
    <mergeCell ref="C14:G14"/>
    <mergeCell ref="C15:G15"/>
    <mergeCell ref="C16:G16"/>
    <mergeCell ref="C17:G17"/>
    <mergeCell ref="E21:F21"/>
    <mergeCell ref="C25:D25"/>
    <mergeCell ref="E25:F25"/>
    <mergeCell ref="C26:D26"/>
    <mergeCell ref="E26:F26"/>
    <mergeCell ref="C21:D21"/>
    <mergeCell ref="C22:D22"/>
    <mergeCell ref="E22:F22"/>
    <mergeCell ref="C23:D23"/>
    <mergeCell ref="E23:F23"/>
    <mergeCell ref="C24:D24"/>
    <mergeCell ref="E24:F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3" width="18.0"/>
    <col customWidth="1" min="4" max="4" width="14.0"/>
    <col customWidth="1" min="5" max="5" width="30.0"/>
    <col customWidth="1" min="6" max="6" width="28.0"/>
    <col customWidth="1" min="7" max="9" width="30.0"/>
    <col customWidth="1" min="10" max="10" width="12.0"/>
    <col customWidth="1" min="11" max="26" width="8.71"/>
  </cols>
  <sheetData>
    <row r="2">
      <c r="B2" s="1" t="s">
        <v>2</v>
      </c>
    </row>
    <row r="3">
      <c r="B3" s="2" t="s">
        <v>3</v>
      </c>
    </row>
    <row r="5" ht="27.75" customHeight="1">
      <c r="B5" s="3" t="s">
        <v>6</v>
      </c>
      <c r="C5" s="3" t="s">
        <v>9</v>
      </c>
      <c r="D5" s="3" t="s">
        <v>11</v>
      </c>
      <c r="E5" s="3" t="s">
        <v>13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</row>
    <row r="6" ht="36.0" customHeight="1">
      <c r="B6" s="6" t="s">
        <v>23</v>
      </c>
      <c r="C6" s="6" t="s">
        <v>27</v>
      </c>
      <c r="D6" s="6" t="s">
        <v>24</v>
      </c>
      <c r="E6" s="7" t="s">
        <v>29</v>
      </c>
      <c r="F6" s="7" t="s">
        <v>30</v>
      </c>
      <c r="G6" s="7" t="s">
        <v>32</v>
      </c>
      <c r="H6" s="7" t="s">
        <v>34</v>
      </c>
      <c r="I6" s="7" t="s">
        <v>36</v>
      </c>
      <c r="J6" s="8" t="s">
        <v>38</v>
      </c>
    </row>
    <row r="7" ht="36.0" customHeight="1">
      <c r="B7" s="9" t="s">
        <v>40</v>
      </c>
      <c r="C7" s="9" t="s">
        <v>27</v>
      </c>
      <c r="D7" s="9" t="s">
        <v>39</v>
      </c>
      <c r="E7" s="10" t="s">
        <v>43</v>
      </c>
      <c r="F7" s="10" t="s">
        <v>45</v>
      </c>
      <c r="G7" s="10" t="s">
        <v>46</v>
      </c>
      <c r="H7" s="10" t="s">
        <v>48</v>
      </c>
      <c r="I7" s="10" t="s">
        <v>49</v>
      </c>
      <c r="J7" s="8" t="s">
        <v>38</v>
      </c>
    </row>
    <row r="8" ht="36.0" customHeight="1">
      <c r="B8" s="6" t="s">
        <v>50</v>
      </c>
      <c r="C8" s="6" t="s">
        <v>27</v>
      </c>
      <c r="D8" s="6" t="s">
        <v>51</v>
      </c>
      <c r="E8" s="7" t="s">
        <v>54</v>
      </c>
      <c r="F8" s="7" t="s">
        <v>56</v>
      </c>
      <c r="G8" s="7" t="s">
        <v>58</v>
      </c>
      <c r="H8" s="7" t="s">
        <v>59</v>
      </c>
      <c r="I8" s="7" t="s">
        <v>61</v>
      </c>
      <c r="J8" s="8" t="s">
        <v>38</v>
      </c>
    </row>
    <row r="9" ht="36.0" customHeight="1">
      <c r="B9" s="9" t="s">
        <v>64</v>
      </c>
      <c r="C9" s="9" t="s">
        <v>27</v>
      </c>
      <c r="D9" s="9" t="s">
        <v>60</v>
      </c>
      <c r="E9" s="10" t="s">
        <v>66</v>
      </c>
      <c r="F9" s="10" t="s">
        <v>68</v>
      </c>
      <c r="G9" s="10" t="s">
        <v>70</v>
      </c>
      <c r="H9" s="10" t="s">
        <v>72</v>
      </c>
      <c r="I9" s="10" t="s">
        <v>74</v>
      </c>
      <c r="J9" s="8" t="s">
        <v>38</v>
      </c>
    </row>
    <row r="10" ht="36.0" customHeight="1">
      <c r="B10" s="6" t="s">
        <v>73</v>
      </c>
      <c r="C10" s="6" t="s">
        <v>27</v>
      </c>
      <c r="D10" s="6" t="s">
        <v>67</v>
      </c>
      <c r="E10" s="7" t="s">
        <v>79</v>
      </c>
      <c r="F10" s="7" t="s">
        <v>81</v>
      </c>
      <c r="G10" s="7" t="s">
        <v>83</v>
      </c>
      <c r="H10" s="7" t="s">
        <v>85</v>
      </c>
      <c r="I10" s="7" t="s">
        <v>87</v>
      </c>
      <c r="J10" s="8" t="s">
        <v>38</v>
      </c>
    </row>
    <row r="11" ht="36.0" customHeight="1">
      <c r="B11" s="9" t="s">
        <v>80</v>
      </c>
      <c r="C11" s="9" t="s">
        <v>27</v>
      </c>
      <c r="D11" s="9" t="s">
        <v>76</v>
      </c>
      <c r="E11" s="10" t="s">
        <v>93</v>
      </c>
      <c r="F11" s="10" t="s">
        <v>95</v>
      </c>
      <c r="G11" s="10" t="s">
        <v>97</v>
      </c>
      <c r="H11" s="10" t="s">
        <v>99</v>
      </c>
      <c r="I11" s="10" t="s">
        <v>101</v>
      </c>
      <c r="J11" s="8" t="s">
        <v>38</v>
      </c>
    </row>
    <row r="12" ht="36.0" customHeight="1">
      <c r="B12" s="6" t="s">
        <v>90</v>
      </c>
      <c r="C12" s="6" t="s">
        <v>27</v>
      </c>
      <c r="D12" s="6" t="s">
        <v>84</v>
      </c>
      <c r="E12" s="7" t="s">
        <v>105</v>
      </c>
      <c r="F12" s="7" t="s">
        <v>108</v>
      </c>
      <c r="G12" s="7" t="s">
        <v>110</v>
      </c>
      <c r="H12" s="7" t="s">
        <v>111</v>
      </c>
      <c r="I12" s="7" t="s">
        <v>112</v>
      </c>
      <c r="J12" s="8" t="s">
        <v>38</v>
      </c>
    </row>
    <row r="13" ht="36.0" customHeight="1">
      <c r="B13" s="9" t="s">
        <v>100</v>
      </c>
      <c r="C13" s="9" t="s">
        <v>94</v>
      </c>
      <c r="D13" s="9" t="s">
        <v>92</v>
      </c>
      <c r="E13" s="10" t="s">
        <v>119</v>
      </c>
      <c r="F13" s="10" t="s">
        <v>121</v>
      </c>
      <c r="G13" s="10" t="s">
        <v>123</v>
      </c>
      <c r="H13" s="10" t="s">
        <v>125</v>
      </c>
      <c r="I13" s="10" t="s">
        <v>126</v>
      </c>
      <c r="J13" s="8" t="s">
        <v>38</v>
      </c>
    </row>
    <row r="14" ht="36.0" customHeight="1">
      <c r="B14" s="6" t="s">
        <v>109</v>
      </c>
      <c r="C14" s="6" t="s">
        <v>94</v>
      </c>
      <c r="D14" s="6" t="s">
        <v>103</v>
      </c>
      <c r="E14" s="7" t="s">
        <v>131</v>
      </c>
      <c r="F14" s="7" t="s">
        <v>132</v>
      </c>
      <c r="G14" s="7" t="s">
        <v>134</v>
      </c>
      <c r="H14" s="7" t="s">
        <v>135</v>
      </c>
      <c r="I14" s="7" t="s">
        <v>137</v>
      </c>
      <c r="J14" s="8" t="s">
        <v>38</v>
      </c>
    </row>
    <row r="15" ht="36.0" customHeight="1">
      <c r="B15" s="9" t="s">
        <v>117</v>
      </c>
      <c r="C15" s="9" t="s">
        <v>94</v>
      </c>
      <c r="D15" s="9" t="s">
        <v>113</v>
      </c>
      <c r="E15" s="10" t="s">
        <v>143</v>
      </c>
      <c r="F15" s="10" t="s">
        <v>145</v>
      </c>
      <c r="G15" s="10" t="s">
        <v>147</v>
      </c>
      <c r="H15" s="10" t="s">
        <v>148</v>
      </c>
      <c r="I15" s="10" t="s">
        <v>150</v>
      </c>
      <c r="J15" s="8" t="s">
        <v>38</v>
      </c>
    </row>
    <row r="16" ht="36.0" customHeight="1">
      <c r="B16" s="6" t="s">
        <v>127</v>
      </c>
      <c r="C16" s="6" t="s">
        <v>154</v>
      </c>
      <c r="D16" s="6" t="s">
        <v>120</v>
      </c>
      <c r="E16" s="7" t="s">
        <v>155</v>
      </c>
      <c r="F16" s="7" t="s">
        <v>157</v>
      </c>
      <c r="G16" s="7" t="s">
        <v>159</v>
      </c>
      <c r="H16" s="7" t="s">
        <v>161</v>
      </c>
      <c r="I16" s="7" t="s">
        <v>164</v>
      </c>
      <c r="J16" s="8" t="s">
        <v>38</v>
      </c>
    </row>
    <row r="17" ht="36.0" customHeight="1">
      <c r="B17" s="9" t="s">
        <v>138</v>
      </c>
      <c r="C17" s="9" t="s">
        <v>154</v>
      </c>
      <c r="D17" s="9" t="s">
        <v>129</v>
      </c>
      <c r="E17" s="10" t="s">
        <v>168</v>
      </c>
      <c r="F17" s="10" t="s">
        <v>171</v>
      </c>
      <c r="G17" s="10" t="s">
        <v>172</v>
      </c>
      <c r="H17" s="10" t="s">
        <v>174</v>
      </c>
      <c r="I17" s="10" t="s">
        <v>176</v>
      </c>
      <c r="J17" s="8" t="s">
        <v>38</v>
      </c>
    </row>
    <row r="18" ht="36.0" customHeight="1">
      <c r="B18" s="6" t="s">
        <v>146</v>
      </c>
      <c r="C18" s="6" t="s">
        <v>154</v>
      </c>
      <c r="D18" s="6" t="s">
        <v>140</v>
      </c>
      <c r="E18" s="7" t="s">
        <v>179</v>
      </c>
      <c r="F18" s="7" t="s">
        <v>182</v>
      </c>
      <c r="G18" s="7" t="s">
        <v>183</v>
      </c>
      <c r="H18" s="7" t="s">
        <v>185</v>
      </c>
      <c r="I18" s="7" t="s">
        <v>187</v>
      </c>
      <c r="J18" s="8" t="s">
        <v>38</v>
      </c>
    </row>
    <row r="19" ht="36.0" customHeight="1">
      <c r="B19" s="9" t="s">
        <v>190</v>
      </c>
      <c r="C19" s="9" t="s">
        <v>154</v>
      </c>
      <c r="D19" s="9" t="s">
        <v>189</v>
      </c>
      <c r="E19" s="10" t="s">
        <v>193</v>
      </c>
      <c r="F19" s="10" t="s">
        <v>195</v>
      </c>
      <c r="G19" s="10" t="s">
        <v>196</v>
      </c>
      <c r="H19" s="10" t="s">
        <v>199</v>
      </c>
      <c r="I19" s="10" t="s">
        <v>201</v>
      </c>
      <c r="J19" s="8" t="s">
        <v>38</v>
      </c>
    </row>
    <row r="20" ht="36.0" customHeight="1">
      <c r="B20" s="6" t="s">
        <v>163</v>
      </c>
      <c r="C20" s="6" t="s">
        <v>203</v>
      </c>
      <c r="D20" s="6" t="s">
        <v>156</v>
      </c>
      <c r="E20" s="7" t="s">
        <v>207</v>
      </c>
      <c r="F20" s="7" t="s">
        <v>210</v>
      </c>
      <c r="G20" s="7" t="s">
        <v>212</v>
      </c>
      <c r="H20" s="7" t="s">
        <v>214</v>
      </c>
      <c r="I20" s="7" t="s">
        <v>216</v>
      </c>
      <c r="J20" s="8" t="s">
        <v>38</v>
      </c>
    </row>
    <row r="21" ht="36.0" customHeight="1">
      <c r="B21" s="9" t="s">
        <v>169</v>
      </c>
      <c r="C21" s="9" t="s">
        <v>203</v>
      </c>
      <c r="D21" s="9" t="s">
        <v>165</v>
      </c>
      <c r="E21" s="10" t="s">
        <v>220</v>
      </c>
      <c r="F21" s="10" t="s">
        <v>221</v>
      </c>
      <c r="G21" s="10" t="s">
        <v>222</v>
      </c>
      <c r="H21" s="10" t="s">
        <v>224</v>
      </c>
      <c r="I21" s="10" t="s">
        <v>225</v>
      </c>
      <c r="J21" s="8" t="s">
        <v>38</v>
      </c>
    </row>
    <row r="22" ht="36.0" customHeight="1">
      <c r="B22" s="6" t="s">
        <v>186</v>
      </c>
      <c r="C22" s="6" t="s">
        <v>203</v>
      </c>
      <c r="D22" s="6" t="s">
        <v>173</v>
      </c>
      <c r="E22" s="7" t="s">
        <v>229</v>
      </c>
      <c r="F22" s="7" t="s">
        <v>231</v>
      </c>
      <c r="G22" s="7" t="s">
        <v>233</v>
      </c>
      <c r="H22" s="7" t="s">
        <v>235</v>
      </c>
      <c r="I22" s="7" t="s">
        <v>236</v>
      </c>
      <c r="J22" s="8" t="s">
        <v>38</v>
      </c>
    </row>
    <row r="23" ht="36.0" customHeight="1">
      <c r="B23" s="9" t="s">
        <v>208</v>
      </c>
      <c r="C23" s="9" t="s">
        <v>198</v>
      </c>
      <c r="D23" s="9" t="s">
        <v>204</v>
      </c>
      <c r="E23" s="10" t="s">
        <v>239</v>
      </c>
      <c r="F23" s="10" t="s">
        <v>240</v>
      </c>
      <c r="G23" s="10" t="s">
        <v>242</v>
      </c>
      <c r="H23" s="10" t="s">
        <v>244</v>
      </c>
      <c r="I23" s="10" t="s">
        <v>245</v>
      </c>
      <c r="J23" s="8" t="s">
        <v>38</v>
      </c>
    </row>
    <row r="24" ht="36.0" customHeight="1">
      <c r="B24" s="6" t="s">
        <v>215</v>
      </c>
      <c r="C24" s="6" t="s">
        <v>198</v>
      </c>
      <c r="D24" s="6" t="s">
        <v>211</v>
      </c>
      <c r="E24" s="7" t="s">
        <v>250</v>
      </c>
      <c r="F24" s="7" t="s">
        <v>252</v>
      </c>
      <c r="G24" s="7" t="s">
        <v>253</v>
      </c>
      <c r="H24" s="7" t="s">
        <v>254</v>
      </c>
      <c r="I24" s="7" t="s">
        <v>256</v>
      </c>
      <c r="J24" s="8" t="s">
        <v>38</v>
      </c>
    </row>
    <row r="25" ht="36.0" customHeight="1">
      <c r="B25" s="9" t="s">
        <v>232</v>
      </c>
      <c r="C25" s="9" t="s">
        <v>228</v>
      </c>
      <c r="D25" s="9" t="s">
        <v>227</v>
      </c>
      <c r="E25" s="10" t="s">
        <v>263</v>
      </c>
      <c r="F25" s="10" t="s">
        <v>264</v>
      </c>
      <c r="G25" s="10" t="s">
        <v>265</v>
      </c>
      <c r="H25" s="10" t="s">
        <v>266</v>
      </c>
      <c r="I25" s="10" t="s">
        <v>267</v>
      </c>
      <c r="J25" s="8" t="s">
        <v>38</v>
      </c>
    </row>
    <row r="26" ht="36.0" customHeight="1">
      <c r="B26" s="6" t="s">
        <v>246</v>
      </c>
      <c r="C26" s="6" t="s">
        <v>228</v>
      </c>
      <c r="D26" s="6" t="s">
        <v>241</v>
      </c>
      <c r="E26" s="7" t="s">
        <v>268</v>
      </c>
      <c r="F26" s="7" t="s">
        <v>269</v>
      </c>
      <c r="G26" s="7" t="s">
        <v>270</v>
      </c>
      <c r="H26" s="7" t="s">
        <v>271</v>
      </c>
      <c r="I26" s="7" t="s">
        <v>272</v>
      </c>
      <c r="J26" s="8" t="s">
        <v>38</v>
      </c>
    </row>
    <row r="27" ht="36.0" customHeight="1">
      <c r="B27" s="9" t="s">
        <v>249</v>
      </c>
      <c r="C27" s="9" t="s">
        <v>273</v>
      </c>
      <c r="D27" s="9" t="s">
        <v>247</v>
      </c>
      <c r="E27" s="10" t="s">
        <v>274</v>
      </c>
      <c r="F27" s="10" t="s">
        <v>275</v>
      </c>
      <c r="G27" s="10" t="s">
        <v>276</v>
      </c>
      <c r="H27" s="10" t="s">
        <v>277</v>
      </c>
      <c r="I27" s="10" t="s">
        <v>278</v>
      </c>
      <c r="J27" s="8" t="s">
        <v>38</v>
      </c>
    </row>
    <row r="28" ht="36.0" customHeight="1">
      <c r="B28" s="6" t="s">
        <v>259</v>
      </c>
      <c r="C28" s="6" t="s">
        <v>273</v>
      </c>
      <c r="D28" s="6" t="s">
        <v>255</v>
      </c>
      <c r="E28" s="7" t="s">
        <v>279</v>
      </c>
      <c r="F28" s="7" t="s">
        <v>280</v>
      </c>
      <c r="G28" s="7" t="s">
        <v>281</v>
      </c>
      <c r="H28" s="7" t="s">
        <v>282</v>
      </c>
      <c r="I28" s="7" t="s">
        <v>283</v>
      </c>
      <c r="J28" s="8" t="s">
        <v>38</v>
      </c>
    </row>
    <row r="29" ht="36.0" customHeight="1">
      <c r="B29" s="9" t="s">
        <v>262</v>
      </c>
      <c r="C29" s="9" t="s">
        <v>273</v>
      </c>
      <c r="D29" s="9" t="s">
        <v>260</v>
      </c>
      <c r="E29" s="10" t="s">
        <v>284</v>
      </c>
      <c r="F29" s="10" t="s">
        <v>285</v>
      </c>
      <c r="G29" s="10" t="s">
        <v>286</v>
      </c>
      <c r="H29" s="10" t="s">
        <v>287</v>
      </c>
      <c r="I29" s="10" t="s">
        <v>288</v>
      </c>
      <c r="J29" s="8" t="s">
        <v>38</v>
      </c>
    </row>
    <row r="30" ht="36.0" customHeight="1">
      <c r="B30" s="6" t="s">
        <v>290</v>
      </c>
      <c r="C30" s="6" t="s">
        <v>273</v>
      </c>
      <c r="D30" s="6" t="s">
        <v>291</v>
      </c>
      <c r="E30" s="7" t="s">
        <v>292</v>
      </c>
      <c r="F30" s="7" t="s">
        <v>293</v>
      </c>
      <c r="G30" s="7" t="s">
        <v>294</v>
      </c>
      <c r="H30" s="7" t="s">
        <v>295</v>
      </c>
      <c r="I30" s="7" t="s">
        <v>296</v>
      </c>
      <c r="J30" s="8" t="s">
        <v>38</v>
      </c>
    </row>
    <row r="31" ht="36.0" customHeight="1">
      <c r="B31" s="9" t="s">
        <v>297</v>
      </c>
      <c r="C31" s="9" t="s">
        <v>273</v>
      </c>
      <c r="D31" s="9" t="s">
        <v>298</v>
      </c>
      <c r="E31" s="10" t="s">
        <v>299</v>
      </c>
      <c r="F31" s="10" t="s">
        <v>300</v>
      </c>
      <c r="G31" s="10" t="s">
        <v>301</v>
      </c>
      <c r="H31" s="10" t="s">
        <v>302</v>
      </c>
      <c r="I31" s="10" t="s">
        <v>303</v>
      </c>
      <c r="J31" s="8" t="s">
        <v>38</v>
      </c>
    </row>
    <row r="32" ht="36.0" customHeight="1">
      <c r="B32" s="6" t="s">
        <v>305</v>
      </c>
      <c r="C32" s="6" t="s">
        <v>273</v>
      </c>
      <c r="D32" s="6" t="s">
        <v>306</v>
      </c>
      <c r="E32" s="7" t="s">
        <v>307</v>
      </c>
      <c r="F32" s="7" t="s">
        <v>308</v>
      </c>
      <c r="G32" s="7" t="s">
        <v>309</v>
      </c>
      <c r="H32" s="7" t="s">
        <v>310</v>
      </c>
      <c r="I32" s="7" t="s">
        <v>311</v>
      </c>
      <c r="J32" s="8" t="s">
        <v>38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22.0"/>
    <col customWidth="1" min="4" max="4" width="38.0"/>
    <col customWidth="1" min="5" max="5" width="24.0"/>
    <col customWidth="1" min="6" max="6" width="18.0"/>
    <col customWidth="1" min="7" max="7" width="20.0"/>
    <col customWidth="1" min="8" max="8" width="16.0"/>
    <col customWidth="1" min="9" max="26" width="8.71"/>
  </cols>
  <sheetData>
    <row r="2">
      <c r="B2" s="1" t="s">
        <v>0</v>
      </c>
    </row>
    <row r="3">
      <c r="B3" s="2" t="s">
        <v>4</v>
      </c>
    </row>
    <row r="5" ht="27.75" customHeight="1">
      <c r="B5" s="3" t="s">
        <v>7</v>
      </c>
      <c r="C5" s="3" t="s">
        <v>10</v>
      </c>
      <c r="D5" s="3" t="s">
        <v>12</v>
      </c>
      <c r="E5" s="3" t="s">
        <v>15</v>
      </c>
      <c r="F5" s="3" t="s">
        <v>17</v>
      </c>
      <c r="G5" s="3" t="s">
        <v>19</v>
      </c>
      <c r="H5" s="3" t="s">
        <v>21</v>
      </c>
    </row>
    <row r="6" ht="24.0" customHeight="1">
      <c r="B6" s="6" t="s">
        <v>24</v>
      </c>
      <c r="C6" s="6" t="s">
        <v>25</v>
      </c>
      <c r="D6" s="7" t="s">
        <v>28</v>
      </c>
      <c r="E6" s="7" t="s">
        <v>31</v>
      </c>
      <c r="F6" s="6" t="s">
        <v>23</v>
      </c>
      <c r="G6" s="6" t="s">
        <v>33</v>
      </c>
      <c r="H6" s="8" t="s">
        <v>37</v>
      </c>
    </row>
    <row r="7" ht="24.0" customHeight="1">
      <c r="B7" s="9" t="s">
        <v>39</v>
      </c>
      <c r="C7" s="9" t="s">
        <v>41</v>
      </c>
      <c r="D7" s="10" t="s">
        <v>42</v>
      </c>
      <c r="E7" s="10" t="s">
        <v>44</v>
      </c>
      <c r="F7" s="9" t="s">
        <v>40</v>
      </c>
      <c r="G7" s="9" t="s">
        <v>47</v>
      </c>
      <c r="H7" s="8" t="s">
        <v>37</v>
      </c>
    </row>
    <row r="8" ht="24.0" customHeight="1">
      <c r="B8" s="6" t="s">
        <v>51</v>
      </c>
      <c r="C8" s="6" t="s">
        <v>52</v>
      </c>
      <c r="D8" s="7" t="s">
        <v>53</v>
      </c>
      <c r="E8" s="7" t="s">
        <v>55</v>
      </c>
      <c r="F8" s="6" t="s">
        <v>50</v>
      </c>
      <c r="G8" s="6" t="s">
        <v>57</v>
      </c>
      <c r="H8" s="8" t="s">
        <v>37</v>
      </c>
    </row>
    <row r="9" ht="24.0" customHeight="1">
      <c r="B9" s="9" t="s">
        <v>60</v>
      </c>
      <c r="C9" s="9" t="s">
        <v>62</v>
      </c>
      <c r="D9" s="10" t="s">
        <v>63</v>
      </c>
      <c r="E9" s="10" t="s">
        <v>55</v>
      </c>
      <c r="F9" s="9" t="s">
        <v>64</v>
      </c>
      <c r="G9" s="9" t="s">
        <v>65</v>
      </c>
      <c r="H9" s="8" t="s">
        <v>37</v>
      </c>
    </row>
    <row r="10" ht="24.0" customHeight="1">
      <c r="B10" s="6" t="s">
        <v>67</v>
      </c>
      <c r="C10" s="6" t="s">
        <v>69</v>
      </c>
      <c r="D10" s="7" t="s">
        <v>71</v>
      </c>
      <c r="E10" s="7" t="s">
        <v>55</v>
      </c>
      <c r="F10" s="6" t="s">
        <v>73</v>
      </c>
      <c r="G10" s="6" t="s">
        <v>75</v>
      </c>
      <c r="H10" s="8" t="s">
        <v>37</v>
      </c>
    </row>
    <row r="11" ht="24.0" customHeight="1">
      <c r="B11" s="9" t="s">
        <v>76</v>
      </c>
      <c r="C11" s="9" t="s">
        <v>77</v>
      </c>
      <c r="D11" s="10" t="s">
        <v>78</v>
      </c>
      <c r="E11" s="10" t="s">
        <v>55</v>
      </c>
      <c r="F11" s="9" t="s">
        <v>80</v>
      </c>
      <c r="G11" s="9" t="s">
        <v>82</v>
      </c>
      <c r="H11" s="8" t="s">
        <v>37</v>
      </c>
    </row>
    <row r="12" ht="24.0" customHeight="1">
      <c r="B12" s="6" t="s">
        <v>84</v>
      </c>
      <c r="C12" s="6" t="s">
        <v>86</v>
      </c>
      <c r="D12" s="7" t="s">
        <v>88</v>
      </c>
      <c r="E12" s="7" t="s">
        <v>89</v>
      </c>
      <c r="F12" s="6" t="s">
        <v>90</v>
      </c>
      <c r="G12" s="6" t="s">
        <v>91</v>
      </c>
      <c r="H12" s="8" t="s">
        <v>37</v>
      </c>
    </row>
    <row r="13" ht="24.0" customHeight="1">
      <c r="B13" s="9" t="s">
        <v>92</v>
      </c>
      <c r="C13" s="9" t="s">
        <v>94</v>
      </c>
      <c r="D13" s="10" t="s">
        <v>96</v>
      </c>
      <c r="E13" s="10" t="s">
        <v>98</v>
      </c>
      <c r="F13" s="9" t="s">
        <v>100</v>
      </c>
      <c r="G13" s="9" t="s">
        <v>102</v>
      </c>
      <c r="H13" s="8" t="s">
        <v>37</v>
      </c>
    </row>
    <row r="14" ht="24.0" customHeight="1">
      <c r="B14" s="6" t="s">
        <v>103</v>
      </c>
      <c r="C14" s="6" t="s">
        <v>104</v>
      </c>
      <c r="D14" s="7" t="s">
        <v>106</v>
      </c>
      <c r="E14" s="7" t="s">
        <v>107</v>
      </c>
      <c r="F14" s="6" t="s">
        <v>109</v>
      </c>
      <c r="G14" s="6" t="s">
        <v>47</v>
      </c>
      <c r="H14" s="8" t="s">
        <v>37</v>
      </c>
    </row>
    <row r="15" ht="24.0" customHeight="1">
      <c r="B15" s="9" t="s">
        <v>113</v>
      </c>
      <c r="C15" s="9" t="s">
        <v>114</v>
      </c>
      <c r="D15" s="10" t="s">
        <v>115</v>
      </c>
      <c r="E15" s="10" t="s">
        <v>116</v>
      </c>
      <c r="F15" s="9" t="s">
        <v>117</v>
      </c>
      <c r="G15" s="9" t="s">
        <v>118</v>
      </c>
      <c r="H15" s="8" t="s">
        <v>37</v>
      </c>
    </row>
    <row r="16" ht="24.0" customHeight="1">
      <c r="B16" s="6" t="s">
        <v>120</v>
      </c>
      <c r="C16" s="6" t="s">
        <v>122</v>
      </c>
      <c r="D16" s="7" t="s">
        <v>124</v>
      </c>
      <c r="E16" s="7" t="s">
        <v>116</v>
      </c>
      <c r="F16" s="6" t="s">
        <v>127</v>
      </c>
      <c r="G16" s="6" t="s">
        <v>128</v>
      </c>
      <c r="H16" s="8" t="s">
        <v>37</v>
      </c>
    </row>
    <row r="17" ht="24.0" customHeight="1">
      <c r="B17" s="9" t="s">
        <v>129</v>
      </c>
      <c r="C17" s="9" t="s">
        <v>130</v>
      </c>
      <c r="D17" s="10" t="s">
        <v>133</v>
      </c>
      <c r="E17" s="10" t="s">
        <v>136</v>
      </c>
      <c r="F17" s="9" t="s">
        <v>138</v>
      </c>
      <c r="G17" s="9" t="s">
        <v>139</v>
      </c>
      <c r="H17" s="8" t="s">
        <v>37</v>
      </c>
    </row>
    <row r="18" ht="24.0" customHeight="1">
      <c r="B18" s="6" t="s">
        <v>140</v>
      </c>
      <c r="C18" s="6" t="s">
        <v>141</v>
      </c>
      <c r="D18" s="7" t="s">
        <v>142</v>
      </c>
      <c r="E18" s="7" t="s">
        <v>144</v>
      </c>
      <c r="F18" s="6" t="s">
        <v>146</v>
      </c>
      <c r="G18" s="6" t="s">
        <v>139</v>
      </c>
      <c r="H18" s="8" t="s">
        <v>37</v>
      </c>
    </row>
    <row r="19" ht="24.0" customHeight="1">
      <c r="B19" s="9" t="s">
        <v>149</v>
      </c>
      <c r="C19" s="9" t="s">
        <v>151</v>
      </c>
      <c r="D19" s="10" t="s">
        <v>152</v>
      </c>
      <c r="E19" s="10" t="s">
        <v>153</v>
      </c>
      <c r="F19" s="9" t="s">
        <v>64</v>
      </c>
      <c r="G19" s="9" t="s">
        <v>139</v>
      </c>
      <c r="H19" s="8" t="s">
        <v>37</v>
      </c>
    </row>
    <row r="20" ht="24.0" customHeight="1">
      <c r="B20" s="6" t="s">
        <v>156</v>
      </c>
      <c r="C20" s="6" t="s">
        <v>158</v>
      </c>
      <c r="D20" s="7" t="s">
        <v>160</v>
      </c>
      <c r="E20" s="7" t="s">
        <v>162</v>
      </c>
      <c r="F20" s="6" t="s">
        <v>163</v>
      </c>
      <c r="G20" s="6" t="s">
        <v>65</v>
      </c>
      <c r="H20" s="8" t="s">
        <v>37</v>
      </c>
    </row>
    <row r="21" ht="24.0" customHeight="1">
      <c r="B21" s="9" t="s">
        <v>165</v>
      </c>
      <c r="C21" s="9" t="s">
        <v>166</v>
      </c>
      <c r="D21" s="10" t="s">
        <v>167</v>
      </c>
      <c r="E21" s="10" t="s">
        <v>162</v>
      </c>
      <c r="F21" s="9" t="s">
        <v>169</v>
      </c>
      <c r="G21" s="9" t="s">
        <v>170</v>
      </c>
      <c r="H21" s="8" t="s">
        <v>37</v>
      </c>
    </row>
    <row r="22" ht="24.0" customHeight="1">
      <c r="B22" s="6" t="s">
        <v>173</v>
      </c>
      <c r="C22" s="6" t="s">
        <v>175</v>
      </c>
      <c r="D22" s="7" t="s">
        <v>177</v>
      </c>
      <c r="E22" s="7" t="s">
        <v>162</v>
      </c>
      <c r="F22" s="6" t="s">
        <v>169</v>
      </c>
      <c r="G22" s="6" t="s">
        <v>178</v>
      </c>
      <c r="H22" s="8" t="s">
        <v>37</v>
      </c>
    </row>
    <row r="23" ht="24.0" customHeight="1">
      <c r="B23" s="9" t="s">
        <v>180</v>
      </c>
      <c r="C23" s="9" t="s">
        <v>181</v>
      </c>
      <c r="D23" s="10" t="s">
        <v>184</v>
      </c>
      <c r="E23" s="10" t="s">
        <v>162</v>
      </c>
      <c r="F23" s="9" t="s">
        <v>186</v>
      </c>
      <c r="G23" s="9" t="s">
        <v>188</v>
      </c>
      <c r="H23" s="8" t="s">
        <v>37</v>
      </c>
    </row>
    <row r="24" ht="24.0" customHeight="1">
      <c r="B24" s="6" t="s">
        <v>189</v>
      </c>
      <c r="C24" s="6" t="s">
        <v>191</v>
      </c>
      <c r="D24" s="7" t="s">
        <v>192</v>
      </c>
      <c r="E24" s="7" t="s">
        <v>116</v>
      </c>
      <c r="F24" s="6" t="s">
        <v>190</v>
      </c>
      <c r="G24" s="6" t="s">
        <v>194</v>
      </c>
      <c r="H24" s="8" t="s">
        <v>37</v>
      </c>
    </row>
    <row r="25" ht="24.0" customHeight="1">
      <c r="B25" s="9" t="s">
        <v>197</v>
      </c>
      <c r="C25" s="9" t="s">
        <v>198</v>
      </c>
      <c r="D25" s="10" t="s">
        <v>200</v>
      </c>
      <c r="E25" s="10" t="s">
        <v>31</v>
      </c>
      <c r="F25" s="9" t="s">
        <v>23</v>
      </c>
      <c r="G25" s="9" t="s">
        <v>202</v>
      </c>
      <c r="H25" s="8" t="s">
        <v>37</v>
      </c>
    </row>
    <row r="26" ht="24.0" customHeight="1">
      <c r="B26" s="6" t="s">
        <v>204</v>
      </c>
      <c r="C26" s="6" t="s">
        <v>198</v>
      </c>
      <c r="D26" s="7" t="s">
        <v>205</v>
      </c>
      <c r="E26" s="7" t="s">
        <v>206</v>
      </c>
      <c r="F26" s="6" t="s">
        <v>208</v>
      </c>
      <c r="G26" s="6" t="s">
        <v>209</v>
      </c>
      <c r="H26" s="8" t="s">
        <v>37</v>
      </c>
    </row>
    <row r="27" ht="24.0" customHeight="1">
      <c r="B27" s="9" t="s">
        <v>211</v>
      </c>
      <c r="C27" s="9" t="s">
        <v>198</v>
      </c>
      <c r="D27" s="10" t="s">
        <v>213</v>
      </c>
      <c r="E27" s="10" t="s">
        <v>44</v>
      </c>
      <c r="F27" s="9" t="s">
        <v>215</v>
      </c>
      <c r="G27" s="9" t="s">
        <v>217</v>
      </c>
      <c r="H27" s="8" t="s">
        <v>37</v>
      </c>
    </row>
    <row r="28" ht="24.0" customHeight="1">
      <c r="B28" s="6" t="s">
        <v>218</v>
      </c>
      <c r="C28" s="6" t="s">
        <v>198</v>
      </c>
      <c r="D28" s="7" t="s">
        <v>219</v>
      </c>
      <c r="E28" s="7" t="s">
        <v>31</v>
      </c>
      <c r="F28" s="6" t="s">
        <v>90</v>
      </c>
      <c r="G28" s="6" t="s">
        <v>91</v>
      </c>
      <c r="H28" s="8" t="s">
        <v>37</v>
      </c>
    </row>
    <row r="29" ht="24.0" customHeight="1">
      <c r="B29" s="9" t="s">
        <v>223</v>
      </c>
      <c r="C29" s="9" t="s">
        <v>198</v>
      </c>
      <c r="D29" s="10" t="s">
        <v>226</v>
      </c>
      <c r="E29" s="10" t="s">
        <v>116</v>
      </c>
      <c r="F29" s="9" t="s">
        <v>190</v>
      </c>
      <c r="G29" s="9" t="s">
        <v>217</v>
      </c>
      <c r="H29" s="8" t="s">
        <v>37</v>
      </c>
    </row>
    <row r="30" ht="24.0" customHeight="1">
      <c r="B30" s="6" t="s">
        <v>227</v>
      </c>
      <c r="C30" s="6" t="s">
        <v>228</v>
      </c>
      <c r="D30" s="7" t="s">
        <v>230</v>
      </c>
      <c r="E30" s="7" t="s">
        <v>206</v>
      </c>
      <c r="F30" s="6" t="s">
        <v>232</v>
      </c>
      <c r="G30" s="6" t="s">
        <v>234</v>
      </c>
      <c r="H30" s="8" t="s">
        <v>37</v>
      </c>
    </row>
    <row r="31" ht="24.0" customHeight="1">
      <c r="B31" s="9" t="s">
        <v>237</v>
      </c>
      <c r="C31" s="9" t="s">
        <v>228</v>
      </c>
      <c r="D31" s="10" t="s">
        <v>238</v>
      </c>
      <c r="E31" s="10" t="s">
        <v>206</v>
      </c>
      <c r="F31" s="9" t="s">
        <v>232</v>
      </c>
      <c r="G31" s="9" t="s">
        <v>234</v>
      </c>
      <c r="H31" s="8" t="s">
        <v>37</v>
      </c>
    </row>
    <row r="32" ht="24.0" customHeight="1">
      <c r="B32" s="6" t="s">
        <v>241</v>
      </c>
      <c r="C32" s="6" t="s">
        <v>228</v>
      </c>
      <c r="D32" s="7" t="s">
        <v>243</v>
      </c>
      <c r="E32" s="7" t="s">
        <v>206</v>
      </c>
      <c r="F32" s="6" t="s">
        <v>246</v>
      </c>
      <c r="G32" s="6" t="s">
        <v>234</v>
      </c>
      <c r="H32" s="8" t="s">
        <v>37</v>
      </c>
    </row>
    <row r="33" ht="24.0" customHeight="1">
      <c r="B33" s="9" t="s">
        <v>247</v>
      </c>
      <c r="C33" s="9" t="s">
        <v>91</v>
      </c>
      <c r="D33" s="10" t="s">
        <v>248</v>
      </c>
      <c r="E33" s="10" t="s">
        <v>206</v>
      </c>
      <c r="F33" s="9" t="s">
        <v>249</v>
      </c>
      <c r="G33" s="9" t="s">
        <v>251</v>
      </c>
      <c r="H33" s="8" t="s">
        <v>37</v>
      </c>
    </row>
    <row r="34" ht="24.0" customHeight="1">
      <c r="B34" s="6" t="s">
        <v>255</v>
      </c>
      <c r="C34" s="6" t="s">
        <v>91</v>
      </c>
      <c r="D34" s="7" t="s">
        <v>257</v>
      </c>
      <c r="E34" s="7" t="s">
        <v>258</v>
      </c>
      <c r="F34" s="6" t="s">
        <v>259</v>
      </c>
      <c r="G34" s="6" t="s">
        <v>251</v>
      </c>
      <c r="H34" s="8" t="s">
        <v>37</v>
      </c>
    </row>
    <row r="35" ht="24.0" customHeight="1">
      <c r="B35" s="9" t="s">
        <v>260</v>
      </c>
      <c r="C35" s="9" t="s">
        <v>91</v>
      </c>
      <c r="D35" s="10" t="s">
        <v>261</v>
      </c>
      <c r="E35" s="10" t="s">
        <v>44</v>
      </c>
      <c r="F35" s="9" t="s">
        <v>262</v>
      </c>
      <c r="G35" s="9" t="s">
        <v>251</v>
      </c>
      <c r="H35" s="8" t="s">
        <v>37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2026-10-07T12:50:35Z</dcterms:created>
  <dc:creator>openpyxl</dc:creator>
</cp:coreProperties>
</file>