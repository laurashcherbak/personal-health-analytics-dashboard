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— Dashboard" sheetId="1" r:id="rId4"/>
    <sheet state="visible" name="02 — Daily Log" sheetId="2" r:id="rId5"/>
    <sheet state="visible" name="03 — Goals &amp; Settings" sheetId="3" r:id="rId6"/>
    <sheet state="visible" name="04 — Analytics" sheetId="4" r:id="rId7"/>
    <sheet state="visible" name="05 — Example Data" sheetId="5" r:id="rId8"/>
    <sheet state="visible" name="06 — Instructions" sheetId="6" r:id="rId9"/>
  </sheets>
  <definedNames/>
  <calcPr/>
  <extLst>
    <ext uri="GoogleSheetsCustomDataVersion2">
      <go:sheetsCustomData xmlns:go="http://customooxmlschemas.google.com/" r:id="rId10" roundtripDataChecksum="rcS6inyKY92x6aGkQ4A+opQWz52BUpWcP4I+7lTEdT0="/>
    </ext>
  </extLst>
</workbook>
</file>

<file path=xl/sharedStrings.xml><?xml version="1.0" encoding="utf-8"?>
<sst xmlns="http://schemas.openxmlformats.org/spreadsheetml/2006/main" count="391" uniqueCount="116">
  <si>
    <t>Personal Health &amp; Progress — Goals &amp; Settings</t>
  </si>
  <si>
    <t>Daily Log — Personal Health &amp; Progress</t>
  </si>
  <si>
    <t>Configure your target parameters below. Do not delete field labels.</t>
  </si>
  <si>
    <t>Record your daily metrics below. Formulas calculate 7-Day Average automatically.</t>
  </si>
  <si>
    <t>Parameter</t>
  </si>
  <si>
    <t>Date</t>
  </si>
  <si>
    <t>User Value</t>
  </si>
  <si>
    <t>Starting Weight (kg)</t>
  </si>
  <si>
    <t>Weight (kg)</t>
  </si>
  <si>
    <t>7-Day Avg Wt</t>
  </si>
  <si>
    <t>Calorie Intake</t>
  </si>
  <si>
    <t>Target Weight (kg)</t>
  </si>
  <si>
    <t>Steps</t>
  </si>
  <si>
    <t>Workout Completed?</t>
  </si>
  <si>
    <t>Activity Type</t>
  </si>
  <si>
    <t>Water Intake (ml)</t>
  </si>
  <si>
    <t>Sleep (hrs)</t>
  </si>
  <si>
    <t>Mood</t>
  </si>
  <si>
    <t>Start Date</t>
  </si>
  <si>
    <t>Notes</t>
  </si>
  <si>
    <t>2026-08-01</t>
  </si>
  <si>
    <t>Target Date</t>
  </si>
  <si>
    <t>2026-11-30</t>
  </si>
  <si>
    <t>Daily Calorie Target (kcal)</t>
  </si>
  <si>
    <t>Daily Step Target</t>
  </si>
  <si>
    <t>Daily Water Target (ml)</t>
  </si>
  <si>
    <t>Weekly Workout Target (days)</t>
  </si>
  <si>
    <t>Personal Health &amp; Progress — Detailed Analytics</t>
  </si>
  <si>
    <t>Sleep Target (hours)</t>
  </si>
  <si>
    <t>Aggregated metric statistics, adherence percentages, and historical trends.</t>
  </si>
  <si>
    <t>Metric Category</t>
  </si>
  <si>
    <t>Yes</t>
  </si>
  <si>
    <t>Running</t>
  </si>
  <si>
    <t>Calculated Statistic</t>
  </si>
  <si>
    <t>😍 Great</t>
  </si>
  <si>
    <t>Current Value</t>
  </si>
  <si>
    <t>Felt energetic</t>
  </si>
  <si>
    <t>2026-08-02</t>
  </si>
  <si>
    <t>Goal / Reference</t>
  </si>
  <si>
    <t>Weight Metrics</t>
  </si>
  <si>
    <t>Gym - Strength</t>
  </si>
  <si>
    <t>2026-08-03</t>
  </si>
  <si>
    <t>Lowest Recorded Weight</t>
  </si>
  <si>
    <t>2026-08-04</t>
  </si>
  <si>
    <t>😊 Good</t>
  </si>
  <si>
    <t>2026-08-05</t>
  </si>
  <si>
    <t>Pilates</t>
  </si>
  <si>
    <t>2026-08-06</t>
  </si>
  <si>
    <t>2026-08-07</t>
  </si>
  <si>
    <t>2026-08-08</t>
  </si>
  <si>
    <t>2026-08-09</t>
  </si>
  <si>
    <t>No</t>
  </si>
  <si>
    <t>Rest</t>
  </si>
  <si>
    <t>Rest day</t>
  </si>
  <si>
    <t>2026-08-10</t>
  </si>
  <si>
    <t>2026-08-11</t>
  </si>
  <si>
    <t>2026-08-12</t>
  </si>
  <si>
    <t>2026-08-13</t>
  </si>
  <si>
    <t>2026-08-14</t>
  </si>
  <si>
    <t>😐 Okay</t>
  </si>
  <si>
    <t>2026-08-15</t>
  </si>
  <si>
    <t>2026-08-16</t>
  </si>
  <si>
    <t>Highest Recorded Weight</t>
  </si>
  <si>
    <t>2026-08-17</t>
  </si>
  <si>
    <t>2026-08-18</t>
  </si>
  <si>
    <t>2026-08-19</t>
  </si>
  <si>
    <t>2026-08-20</t>
  </si>
  <si>
    <t>2026-08-21</t>
  </si>
  <si>
    <t>Total Weight Lost (kg)</t>
  </si>
  <si>
    <t>2026-08-22</t>
  </si>
  <si>
    <t>2026-08-23</t>
  </si>
  <si>
    <t>2026-08-24</t>
  </si>
  <si>
    <t>2026-08-25</t>
  </si>
  <si>
    <t>Target: 10.5 kg</t>
  </si>
  <si>
    <t>Calorie Adherence</t>
  </si>
  <si>
    <t>Average Daily Calories</t>
  </si>
  <si>
    <t>Example Data — Demonstration Dataset</t>
  </si>
  <si>
    <t>2026-08-26</t>
  </si>
  <si>
    <t>Pre-populated 30-day realistic demonstration dataset to explore analytics.</t>
  </si>
  <si>
    <t>2026-08-27</t>
  </si>
  <si>
    <t>2026-08-28</t>
  </si>
  <si>
    <t>2026-08-29</t>
  </si>
  <si>
    <t>2026-08-30</t>
  </si>
  <si>
    <t>Days Within Target (±100 kcal)</t>
  </si>
  <si>
    <t>Target Range: 1700-1900</t>
  </si>
  <si>
    <t>Activity &amp; Habits</t>
  </si>
  <si>
    <t>Average Daily Steps</t>
  </si>
  <si>
    <t>Workout Consistency %</t>
  </si>
  <si>
    <t>Target: 57.0% (4 days/wk)</t>
  </si>
  <si>
    <t>Sleep &amp; Recovery</t>
  </si>
  <si>
    <t>Average Sleep Duration</t>
  </si>
  <si>
    <t>User Guide &amp; Workbook Instructions</t>
  </si>
  <si>
    <t>Follow these step-by-step instructions to customize and use your template.</t>
  </si>
  <si>
    <t>Step 1: Set Up Goals</t>
  </si>
  <si>
    <t>Go to the '03 — Goals &amp; Settings' tab and fill in your starting weight, target weight, target dates, and daily calorie/step goals.</t>
  </si>
  <si>
    <t>Step 2: Log Daily Data</t>
  </si>
  <si>
    <t>Open '02 — Daily Log' every day. Type the date, your weight, calorie intake, steps, water, sleep, and workout status.</t>
  </si>
  <si>
    <t>Step 3: Automated Calculations</t>
  </si>
  <si>
    <t>Do NOT edit formulas in column D ('7-Day Avg Wt') or the '01 — Dashboard' tab. They update automatically!</t>
  </si>
  <si>
    <t>Step 4: View Your Dashboard</t>
  </si>
  <si>
    <t>Check '01 — Dashboard' regularly to see your progress percentage, weight trend line, milestone achievements, and calorie charts.</t>
  </si>
  <si>
    <t>Step 5: Explore Example Data</t>
  </si>
  <si>
    <t>Check '05 — Example Data' to see how the dashboard and charts look after 30 days of consistent tracking.</t>
  </si>
  <si>
    <t>Personal Health &amp; Progress Dashboard</t>
  </si>
  <si>
    <t>Overview of key metrics, goal tracking, and progress trends</t>
  </si>
  <si>
    <t>START WEIGHT</t>
  </si>
  <si>
    <t>CURRENT WEIGHT</t>
  </si>
  <si>
    <t>TARGET WEIGHT</t>
  </si>
  <si>
    <t>GOAL PROGRESS</t>
  </si>
  <si>
    <t>AVG CALORIES</t>
  </si>
  <si>
    <t>WORKOUT DAYS</t>
  </si>
  <si>
    <t>Milestone Tracker</t>
  </si>
  <si>
    <t>25% Progress Reached</t>
  </si>
  <si>
    <t>50% Halfway Mark</t>
  </si>
  <si>
    <t>75% Final Stretch</t>
  </si>
  <si>
    <t>100% Target Weight Reached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</si>
</sst>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sz val="16.0"/>
      <color rgb="FF4A3B32"/>
      <name val="Quattrocento Sans"/>
    </font>
    <font>
      <i/>
      <sz val="10.0"/>
      <color rgb="FF7F6E65"/>
      <name val="Quattrocento Sans"/>
    </font>
    <font>
      <b/>
      <sz val="11.0"/>
      <color rgb="FFFFFFFF"/>
      <name val="Quattrocento Sans"/>
    </font>
    <font>
      <b/>
      <sz val="11.0"/>
      <color rgb="FF4A3B32"/>
      <name val="Quattrocento Sans"/>
    </font>
    <font>
      <sz val="11.0"/>
      <color rgb="FF4A3B32"/>
      <name val="Quattrocento Sans"/>
    </font>
    <font>
      <sz val="11.0"/>
      <color theme="1"/>
      <name val="Calibri"/>
    </font>
    <font/>
    <font>
      <b/>
      <sz val="9.0"/>
      <color rgb="FF7F6E65"/>
      <name val="Quattrocento Sans"/>
    </font>
    <font>
      <b/>
      <sz val="20.0"/>
      <color rgb="FF4A3B32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E88D93"/>
        <bgColor rgb="FFE88D93"/>
      </patternFill>
    </fill>
    <fill>
      <patternFill patternType="solid">
        <fgColor rgb="FFFCE4E6"/>
        <bgColor rgb="FFFCE4E6"/>
      </patternFill>
    </fill>
    <fill>
      <patternFill patternType="solid">
        <fgColor rgb="FFFFFDF9"/>
        <bgColor rgb="FFFFFDF9"/>
      </patternFill>
    </fill>
  </fills>
  <borders count="9">
    <border/>
    <border>
      <left/>
      <right/>
      <top/>
      <bottom/>
    </border>
    <border>
      <left style="thin">
        <color rgb="FFE6D7D2"/>
      </left>
      <right style="thin">
        <color rgb="FFE6D7D2"/>
      </right>
      <top style="thin">
        <color rgb="FFE6D7D2"/>
      </top>
      <bottom style="thin">
        <color rgb="FFE6D7D2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E88D93"/>
      </left>
      <top style="thin">
        <color rgb="FFE6D7D2"/>
      </top>
      <bottom style="thin">
        <color rgb="FFE6D7D2"/>
      </bottom>
    </border>
    <border>
      <right style="thin">
        <color rgb="FFE6D7D2"/>
      </right>
      <top style="thin">
        <color rgb="FFE6D7D2"/>
      </top>
      <bottom style="thin">
        <color rgb="FFE6D7D2"/>
      </bottom>
    </border>
    <border>
      <left style="thin">
        <color rgb="FFE6D7D2"/>
      </left>
      <top style="thin">
        <color rgb="FFE6D7D2"/>
      </top>
      <bottom style="thin">
        <color rgb="FFE6D7D2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3" fontId="4" numFmtId="0" xfId="0" applyBorder="1" applyFill="1" applyFont="1"/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Border="1" applyFont="1"/>
    <xf borderId="2" fillId="3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2" fillId="3" fontId="5" numFmtId="0" xfId="0" applyBorder="1" applyFill="1" applyFont="1"/>
    <xf borderId="2" fillId="0" fontId="5" numFmtId="0" xfId="0" applyAlignment="1" applyBorder="1" applyFont="1">
      <alignment horizontal="left" vertical="center"/>
    </xf>
    <xf borderId="2" fillId="4" fontId="5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left" vertical="center"/>
    </xf>
    <xf borderId="2" fillId="0" fontId="4" numFmtId="164" xfId="0" applyAlignment="1" applyBorder="1" applyFont="1" applyNumberFormat="1">
      <alignment horizontal="center" shrinkToFit="0" vertical="center" wrapText="1"/>
    </xf>
    <xf borderId="3" fillId="3" fontId="4" numFmtId="0" xfId="0" applyBorder="1" applyFill="1" applyFont="1"/>
    <xf borderId="4" fillId="0" fontId="7" numFmtId="0" xfId="0" applyBorder="1" applyFont="1"/>
    <xf borderId="5" fillId="0" fontId="7" numFmtId="0" xfId="0" applyBorder="1" applyFont="1"/>
    <xf borderId="0" fillId="0" fontId="5" numFmtId="0" xfId="0" applyAlignment="1" applyFont="1">
      <alignment shrinkToFit="0" wrapText="1"/>
    </xf>
    <xf borderId="6" fillId="3" fontId="8" numFmtId="0" xfId="0" applyAlignment="1" applyBorder="1" applyFill="1" applyFont="1">
      <alignment horizontal="center" shrinkToFit="0" vertical="center" wrapText="1"/>
    </xf>
    <xf borderId="7" fillId="0" fontId="7" numFmtId="0" xfId="0" applyBorder="1" applyFont="1"/>
    <xf borderId="6" fillId="4" fontId="9" numFmtId="0" xfId="0" applyAlignment="1" applyBorder="1" applyFill="1" applyFont="1">
      <alignment horizontal="center" shrinkToFit="0" vertical="center" wrapText="1"/>
    </xf>
    <xf borderId="6" fillId="4" fontId="9" numFmtId="164" xfId="0" applyAlignment="1" applyBorder="1" applyFill="1" applyFont="1" applyNumberFormat="1">
      <alignment horizontal="center" shrinkToFit="0" vertical="center" wrapText="1"/>
    </xf>
    <xf borderId="3" fillId="2" fontId="4" numFmtId="0" xfId="0" applyBorder="1" applyFill="1" applyFont="1"/>
    <xf borderId="8" fillId="0" fontId="5" numFmtId="0" xfId="0" applyBorder="1" applyFont="1"/>
    <xf borderId="8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Weight Trend &amp; 7-Day Moving Average (kg)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'05 — Example Data'!$C$5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'05 — Example Data'!$B$6:$B$35</c:f>
            </c:strRef>
          </c:cat>
          <c:val>
            <c:numRef>
              <c:f>'05 — Example Data'!$C$6:$C$35</c:f>
              <c:numCache/>
            </c:numRef>
          </c:val>
          <c:smooth val="0"/>
        </c:ser>
        <c:ser>
          <c:idx val="1"/>
          <c:order val="1"/>
          <c:tx>
            <c:strRef>
              <c:f>'05 — Example Data'!$D$5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'05 — Example Data'!$B$6:$B$35</c:f>
            </c:strRef>
          </c:cat>
          <c:val>
            <c:numRef>
              <c:f>'05 — Example Data'!$D$6:$D$35</c:f>
              <c:numCache/>
            </c:numRef>
          </c:val>
          <c:smooth val="0"/>
        </c:ser>
        <c:axId val="1247706739"/>
        <c:axId val="1009256857"/>
      </c:lineChart>
      <c:catAx>
        <c:axId val="1247706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Logged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256857"/>
      </c:catAx>
      <c:valAx>
        <c:axId val="1009256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Weight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706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Daily Calorie Intake vs Target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'05 — Example Data'!$E$5</c:f>
            </c:strRef>
          </c:tx>
          <c:spPr>
            <a:solidFill>
              <a:srgbClr val="E88D93"/>
            </a:solidFill>
            <a:ln cmpd="sng">
              <a:noFill/>
            </a:ln>
          </c:spPr>
          <c:invertIfNegative val="0"/>
          <c:cat>
            <c:strRef>
              <c:f>'05 — Example Data'!$B$6:$B$35</c:f>
            </c:strRef>
          </c:cat>
          <c:val>
            <c:numRef>
              <c:f>'05 — Example Data'!$E$6:$E$35</c:f>
              <c:numCache/>
            </c:numRef>
          </c:val>
        </c:ser>
        <c:axId val="896960074"/>
        <c:axId val="1154722810"/>
      </c:barChart>
      <c:catAx>
        <c:axId val="896960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722810"/>
      </c:catAx>
      <c:valAx>
        <c:axId val="1154722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Calories (kcal)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960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14</xdr:row>
      <xdr:rowOff>19050</xdr:rowOff>
    </xdr:from>
    <xdr:ext cx="6477000" cy="3952875"/>
    <xdr:graphicFrame>
      <xdr:nvGraphicFramePr>
        <xdr:cNvPr id="135507668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171450</xdr:colOff>
      <xdr:row>14</xdr:row>
      <xdr:rowOff>19050</xdr:rowOff>
    </xdr:from>
    <xdr:ext cx="6477000" cy="3952875"/>
    <xdr:graphicFrame>
      <xdr:nvGraphicFramePr>
        <xdr:cNvPr id="177258994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13" width="14.0"/>
    <col customWidth="1" min="14" max="26" width="8.71"/>
  </cols>
  <sheetData>
    <row r="2">
      <c r="B2" s="1" t="s">
        <v>103</v>
      </c>
    </row>
    <row r="3">
      <c r="B3" s="2" t="s">
        <v>104</v>
      </c>
    </row>
    <row r="5">
      <c r="B5" s="23" t="s">
        <v>105</v>
      </c>
      <c r="C5" s="24"/>
      <c r="D5" s="23" t="s">
        <v>106</v>
      </c>
      <c r="E5" s="24"/>
      <c r="F5" s="23" t="s">
        <v>107</v>
      </c>
      <c r="G5" s="24"/>
      <c r="H5" s="23" t="s">
        <v>108</v>
      </c>
      <c r="I5" s="24"/>
      <c r="J5" s="23" t="s">
        <v>109</v>
      </c>
      <c r="K5" s="24"/>
      <c r="L5" s="23" t="s">
        <v>110</v>
      </c>
      <c r="M5" s="24"/>
    </row>
    <row r="6">
      <c r="B6" s="25">
        <f>'03 — Goals &amp; Settings'!C6</f>
        <v>85.5</v>
      </c>
      <c r="C6" s="24"/>
      <c r="D6" s="25">
        <f>IF(COUNTA('02 — Daily Log'!C6:C65)&gt;0, LOOKUP(2, 1/('02 — Daily Log'!C6:C65&lt;&gt;""), '02 — Daily Log'!C6:C65), '03 — Goals &amp; Settings'!C6)</f>
        <v>82.5</v>
      </c>
      <c r="E6" s="24"/>
      <c r="F6" s="25">
        <f>'03 — Goals &amp; Settings'!C7</f>
        <v>72</v>
      </c>
      <c r="G6" s="24"/>
      <c r="H6" s="26">
        <f>IF(B6=F6, 1, ROUND((B6-D6)/(B6-F6), 2))</f>
        <v>0.22</v>
      </c>
      <c r="I6" s="24"/>
      <c r="J6" s="25">
        <f>ROUND(AVERAGE('02 — Daily Log'!E6:E65), 0)</f>
        <v>1827</v>
      </c>
      <c r="K6" s="24"/>
      <c r="L6" s="25">
        <f>COUNTIF('02 — Daily Log'!G6:G65, "Yes")</f>
        <v>21</v>
      </c>
      <c r="M6" s="24"/>
    </row>
    <row r="9">
      <c r="B9" s="27" t="s">
        <v>111</v>
      </c>
      <c r="C9" s="20"/>
      <c r="D9" s="20"/>
      <c r="E9" s="21"/>
    </row>
    <row r="10">
      <c r="B10" s="28" t="s">
        <v>112</v>
      </c>
      <c r="C10" s="24"/>
      <c r="D10" s="29" t="str">
        <f>IF(H6&gt;=0.25, "✨ Completed", "⏳ Pending")</f>
        <v>⏳ Pending</v>
      </c>
      <c r="E10" s="24"/>
    </row>
    <row r="11">
      <c r="B11" s="28" t="s">
        <v>113</v>
      </c>
      <c r="C11" s="24"/>
      <c r="D11" s="29" t="str">
        <f>IF(H6&gt;=0.5, "✨ Completed", "⏳ Pending")</f>
        <v>⏳ Pending</v>
      </c>
      <c r="E11" s="24"/>
    </row>
    <row r="12">
      <c r="B12" s="28" t="s">
        <v>114</v>
      </c>
      <c r="C12" s="24"/>
      <c r="D12" s="29" t="str">
        <f>IF(H6&gt;=0.75, "✨ Completed", "⏳ Pending")</f>
        <v>⏳ Pending</v>
      </c>
      <c r="E12" s="24"/>
    </row>
    <row r="13">
      <c r="B13" s="28" t="s">
        <v>115</v>
      </c>
      <c r="C13" s="24"/>
      <c r="D13" s="29" t="str">
        <f>IF(H6&gt;=1, "🎉 Achieved!", "⏳ Pending")</f>
        <v>⏳ Pending</v>
      </c>
      <c r="E13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6:I6"/>
    <mergeCell ref="J6:K6"/>
    <mergeCell ref="B5:C5"/>
    <mergeCell ref="D5:E5"/>
    <mergeCell ref="F5:G5"/>
    <mergeCell ref="H5:I5"/>
    <mergeCell ref="J5:K5"/>
    <mergeCell ref="L5:M5"/>
    <mergeCell ref="B6:C6"/>
    <mergeCell ref="L6:M6"/>
    <mergeCell ref="B12:C12"/>
    <mergeCell ref="D12:E12"/>
    <mergeCell ref="B13:C13"/>
    <mergeCell ref="D13:E13"/>
    <mergeCell ref="D6:E6"/>
    <mergeCell ref="F6:G6"/>
    <mergeCell ref="B9:E9"/>
    <mergeCell ref="B10:C10"/>
    <mergeCell ref="D10:E10"/>
    <mergeCell ref="B11:C11"/>
    <mergeCell ref="D11:E1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3" width="14.0"/>
    <col customWidth="1" min="4" max="5" width="15.0"/>
    <col customWidth="1" min="6" max="6" width="14.0"/>
    <col customWidth="1" min="7" max="7" width="20.0"/>
    <col customWidth="1" min="8" max="8" width="18.0"/>
    <col customWidth="1" min="9" max="9" width="16.0"/>
    <col customWidth="1" min="10" max="11" width="14.0"/>
    <col customWidth="1" min="12" max="12" width="25.0"/>
    <col customWidth="1" min="13" max="26" width="8.71"/>
  </cols>
  <sheetData>
    <row r="2">
      <c r="B2" s="1" t="s">
        <v>1</v>
      </c>
    </row>
    <row r="3">
      <c r="B3" s="2" t="s">
        <v>3</v>
      </c>
    </row>
    <row r="5" ht="27.75" customHeight="1">
      <c r="B5" s="5" t="s">
        <v>5</v>
      </c>
      <c r="C5" s="5" t="s">
        <v>8</v>
      </c>
      <c r="D5" s="5" t="s">
        <v>9</v>
      </c>
      <c r="E5" s="5" t="s">
        <v>10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19</v>
      </c>
    </row>
    <row r="6">
      <c r="B6" s="9" t="s">
        <v>20</v>
      </c>
      <c r="C6" s="9">
        <v>82.5</v>
      </c>
      <c r="D6" s="10">
        <v>82.5</v>
      </c>
      <c r="E6" s="11">
        <v>1662.0</v>
      </c>
      <c r="F6" s="11">
        <v>9753.0</v>
      </c>
      <c r="G6" s="11" t="s">
        <v>31</v>
      </c>
      <c r="H6" s="11" t="s">
        <v>32</v>
      </c>
      <c r="I6" s="11">
        <v>2200.0</v>
      </c>
      <c r="J6" s="11">
        <v>8.1</v>
      </c>
      <c r="K6" s="11" t="s">
        <v>34</v>
      </c>
      <c r="L6" s="9" t="s">
        <v>36</v>
      </c>
    </row>
    <row r="7">
      <c r="B7" s="9" t="s">
        <v>37</v>
      </c>
      <c r="C7" s="9">
        <v>82.5</v>
      </c>
      <c r="D7" s="10">
        <v>82.5</v>
      </c>
      <c r="E7" s="11">
        <v>1866.0</v>
      </c>
      <c r="F7" s="11">
        <v>7760.0</v>
      </c>
      <c r="G7" s="11" t="s">
        <v>31</v>
      </c>
      <c r="H7" s="11" t="s">
        <v>40</v>
      </c>
      <c r="I7" s="11">
        <v>2200.0</v>
      </c>
      <c r="J7" s="11">
        <v>7.3</v>
      </c>
      <c r="K7" s="11" t="s">
        <v>34</v>
      </c>
      <c r="L7" s="9" t="s">
        <v>36</v>
      </c>
    </row>
    <row r="8">
      <c r="B8" s="9" t="s">
        <v>41</v>
      </c>
      <c r="C8" s="9">
        <v>82.4</v>
      </c>
      <c r="D8" s="10">
        <v>82.47</v>
      </c>
      <c r="E8" s="11">
        <v>1751.0</v>
      </c>
      <c r="F8" s="11">
        <v>11964.0</v>
      </c>
      <c r="G8" s="11" t="s">
        <v>31</v>
      </c>
      <c r="H8" s="11" t="s">
        <v>32</v>
      </c>
      <c r="I8" s="11">
        <v>2800.0</v>
      </c>
      <c r="J8" s="11">
        <v>7.9</v>
      </c>
      <c r="K8" s="11" t="s">
        <v>34</v>
      </c>
      <c r="L8" s="9" t="s">
        <v>36</v>
      </c>
    </row>
    <row r="9">
      <c r="B9" s="9" t="s">
        <v>43</v>
      </c>
      <c r="C9" s="9">
        <v>82.3</v>
      </c>
      <c r="D9" s="10">
        <v>82.43</v>
      </c>
      <c r="E9" s="11">
        <v>1866.0</v>
      </c>
      <c r="F9" s="11">
        <v>10287.0</v>
      </c>
      <c r="G9" s="11" t="s">
        <v>31</v>
      </c>
      <c r="H9" s="11" t="s">
        <v>32</v>
      </c>
      <c r="I9" s="11">
        <v>2200.0</v>
      </c>
      <c r="J9" s="11">
        <v>8.4</v>
      </c>
      <c r="K9" s="11" t="s">
        <v>44</v>
      </c>
      <c r="L9" s="9" t="s">
        <v>36</v>
      </c>
    </row>
    <row r="10">
      <c r="B10" s="9" t="s">
        <v>45</v>
      </c>
      <c r="C10" s="9">
        <v>82.3</v>
      </c>
      <c r="D10" s="10">
        <v>82.4</v>
      </c>
      <c r="E10" s="11">
        <v>1697.0</v>
      </c>
      <c r="F10" s="11">
        <v>10612.0</v>
      </c>
      <c r="G10" s="11" t="s">
        <v>31</v>
      </c>
      <c r="H10" s="11" t="s">
        <v>46</v>
      </c>
      <c r="I10" s="11">
        <v>2500.0</v>
      </c>
      <c r="J10" s="11">
        <v>7.9</v>
      </c>
      <c r="K10" s="11" t="s">
        <v>34</v>
      </c>
      <c r="L10" s="9" t="s">
        <v>36</v>
      </c>
    </row>
    <row r="11">
      <c r="B11" s="9" t="s">
        <v>47</v>
      </c>
      <c r="C11" s="9">
        <v>82.4</v>
      </c>
      <c r="D11" s="10">
        <v>82.4</v>
      </c>
      <c r="E11" s="11">
        <v>1924.0</v>
      </c>
      <c r="F11" s="11">
        <v>8522.0</v>
      </c>
      <c r="G11" s="11" t="s">
        <v>31</v>
      </c>
      <c r="H11" s="11" t="s">
        <v>40</v>
      </c>
      <c r="I11" s="11">
        <v>2500.0</v>
      </c>
      <c r="J11" s="11">
        <v>8.2</v>
      </c>
      <c r="K11" s="11" t="s">
        <v>44</v>
      </c>
      <c r="L11" s="9" t="s">
        <v>36</v>
      </c>
    </row>
    <row r="12">
      <c r="B12" s="9" t="s">
        <v>48</v>
      </c>
      <c r="C12" s="9">
        <v>82.4</v>
      </c>
      <c r="D12" s="10">
        <v>82.4</v>
      </c>
      <c r="E12" s="11">
        <v>1748.0</v>
      </c>
      <c r="F12" s="11">
        <v>8069.0</v>
      </c>
      <c r="G12" s="11" t="s">
        <v>31</v>
      </c>
      <c r="H12" s="11" t="s">
        <v>32</v>
      </c>
      <c r="I12" s="11">
        <v>2500.0</v>
      </c>
      <c r="J12" s="11">
        <v>8.5</v>
      </c>
      <c r="K12" s="11" t="s">
        <v>44</v>
      </c>
      <c r="L12" s="9" t="s">
        <v>36</v>
      </c>
    </row>
    <row r="13">
      <c r="B13" s="9" t="s">
        <v>49</v>
      </c>
      <c r="C13" s="9">
        <v>82.4</v>
      </c>
      <c r="D13" s="10">
        <v>82.39</v>
      </c>
      <c r="E13" s="11">
        <v>1844.0</v>
      </c>
      <c r="F13" s="11">
        <v>9777.0</v>
      </c>
      <c r="G13" s="11" t="s">
        <v>31</v>
      </c>
      <c r="H13" s="11" t="s">
        <v>46</v>
      </c>
      <c r="I13" s="11">
        <v>2200.0</v>
      </c>
      <c r="J13" s="11">
        <v>7.6</v>
      </c>
      <c r="K13" s="11" t="s">
        <v>44</v>
      </c>
      <c r="L13" s="9" t="s">
        <v>36</v>
      </c>
    </row>
    <row r="14">
      <c r="B14" s="9" t="s">
        <v>50</v>
      </c>
      <c r="C14" s="9">
        <v>82.2</v>
      </c>
      <c r="D14" s="10">
        <v>82.34</v>
      </c>
      <c r="E14" s="11">
        <v>1686.0</v>
      </c>
      <c r="F14" s="11">
        <v>12490.0</v>
      </c>
      <c r="G14" s="11" t="s">
        <v>51</v>
      </c>
      <c r="H14" s="11" t="s">
        <v>52</v>
      </c>
      <c r="I14" s="11">
        <v>2200.0</v>
      </c>
      <c r="J14" s="11">
        <v>7.8</v>
      </c>
      <c r="K14" s="11" t="s">
        <v>44</v>
      </c>
      <c r="L14" s="9" t="s">
        <v>53</v>
      </c>
    </row>
    <row r="15">
      <c r="B15" s="9" t="s">
        <v>54</v>
      </c>
      <c r="C15" s="9">
        <v>82.1</v>
      </c>
      <c r="D15" s="10">
        <v>82.3</v>
      </c>
      <c r="E15" s="11">
        <v>1886.0</v>
      </c>
      <c r="F15" s="11">
        <v>10608.0</v>
      </c>
      <c r="G15" s="11" t="s">
        <v>31</v>
      </c>
      <c r="H15" s="11" t="s">
        <v>32</v>
      </c>
      <c r="I15" s="11">
        <v>2500.0</v>
      </c>
      <c r="J15" s="11">
        <v>8.3</v>
      </c>
      <c r="K15" s="11" t="s">
        <v>34</v>
      </c>
      <c r="L15" s="9" t="s">
        <v>36</v>
      </c>
    </row>
    <row r="16">
      <c r="B16" s="9" t="s">
        <v>55</v>
      </c>
      <c r="C16" s="9">
        <v>82.0</v>
      </c>
      <c r="D16" s="10">
        <v>82.26</v>
      </c>
      <c r="E16" s="11">
        <v>1666.0</v>
      </c>
      <c r="F16" s="11">
        <v>10084.0</v>
      </c>
      <c r="G16" s="11" t="s">
        <v>31</v>
      </c>
      <c r="H16" s="11" t="s">
        <v>46</v>
      </c>
      <c r="I16" s="11">
        <v>2000.0</v>
      </c>
      <c r="J16" s="11">
        <v>7.3</v>
      </c>
      <c r="K16" s="11" t="s">
        <v>44</v>
      </c>
      <c r="L16" s="9" t="s">
        <v>36</v>
      </c>
    </row>
    <row r="17">
      <c r="B17" s="9" t="s">
        <v>56</v>
      </c>
      <c r="C17" s="9">
        <v>81.9</v>
      </c>
      <c r="D17" s="10">
        <v>82.2</v>
      </c>
      <c r="E17" s="11">
        <v>1905.0</v>
      </c>
      <c r="F17" s="11">
        <v>10741.0</v>
      </c>
      <c r="G17" s="11" t="s">
        <v>51</v>
      </c>
      <c r="H17" s="11" t="s">
        <v>52</v>
      </c>
      <c r="I17" s="11">
        <v>2800.0</v>
      </c>
      <c r="J17" s="11">
        <v>7.2</v>
      </c>
      <c r="K17" s="11" t="s">
        <v>44</v>
      </c>
      <c r="L17" s="9" t="s">
        <v>53</v>
      </c>
    </row>
    <row r="18">
      <c r="B18" s="9" t="s">
        <v>57</v>
      </c>
      <c r="C18" s="9">
        <v>81.8</v>
      </c>
      <c r="D18" s="10">
        <v>82.11</v>
      </c>
      <c r="E18" s="11">
        <v>1937.0</v>
      </c>
      <c r="F18" s="11">
        <v>11915.0</v>
      </c>
      <c r="G18" s="11" t="s">
        <v>31</v>
      </c>
      <c r="H18" s="11" t="s">
        <v>52</v>
      </c>
      <c r="I18" s="11">
        <v>2800.0</v>
      </c>
      <c r="J18" s="11">
        <v>7.5</v>
      </c>
      <c r="K18" s="11" t="s">
        <v>44</v>
      </c>
      <c r="L18" s="9" t="s">
        <v>36</v>
      </c>
    </row>
    <row r="19">
      <c r="B19" s="9" t="s">
        <v>58</v>
      </c>
      <c r="C19" s="9">
        <v>81.7</v>
      </c>
      <c r="D19" s="10">
        <v>82.01</v>
      </c>
      <c r="E19" s="11">
        <v>1902.0</v>
      </c>
      <c r="F19" s="11">
        <v>8244.0</v>
      </c>
      <c r="G19" s="11" t="s">
        <v>31</v>
      </c>
      <c r="H19" s="11" t="s">
        <v>40</v>
      </c>
      <c r="I19" s="11">
        <v>2200.0</v>
      </c>
      <c r="J19" s="11">
        <v>7.9</v>
      </c>
      <c r="K19" s="11" t="s">
        <v>59</v>
      </c>
      <c r="L19" s="9" t="s">
        <v>36</v>
      </c>
    </row>
    <row r="20">
      <c r="B20" s="9" t="s">
        <v>60</v>
      </c>
      <c r="C20" s="9">
        <v>81.7</v>
      </c>
      <c r="D20" s="10">
        <v>81.91</v>
      </c>
      <c r="E20" s="11">
        <v>1682.0</v>
      </c>
      <c r="F20" s="11">
        <v>10652.0</v>
      </c>
      <c r="G20" s="11" t="s">
        <v>31</v>
      </c>
      <c r="H20" s="11" t="s">
        <v>52</v>
      </c>
      <c r="I20" s="11">
        <v>2500.0</v>
      </c>
      <c r="J20" s="11">
        <v>8.5</v>
      </c>
      <c r="K20" s="11" t="s">
        <v>34</v>
      </c>
      <c r="L20" s="9" t="s">
        <v>36</v>
      </c>
    </row>
    <row r="21" ht="15.75" customHeight="1">
      <c r="B21" s="9" t="s">
        <v>61</v>
      </c>
      <c r="C21" s="9">
        <v>81.7</v>
      </c>
      <c r="D21" s="10">
        <v>81.84</v>
      </c>
      <c r="E21" s="11">
        <v>1924.0</v>
      </c>
      <c r="F21" s="11">
        <v>9685.0</v>
      </c>
      <c r="G21" s="11" t="s">
        <v>51</v>
      </c>
      <c r="H21" s="11" t="s">
        <v>52</v>
      </c>
      <c r="I21" s="11">
        <v>2500.0</v>
      </c>
      <c r="J21" s="11">
        <v>7.2</v>
      </c>
      <c r="K21" s="11" t="s">
        <v>59</v>
      </c>
      <c r="L21" s="9" t="s">
        <v>53</v>
      </c>
    </row>
    <row r="22" ht="15.75" customHeight="1">
      <c r="B22" s="9" t="s">
        <v>63</v>
      </c>
      <c r="C22" s="9">
        <v>81.6</v>
      </c>
      <c r="D22" s="10">
        <v>81.77</v>
      </c>
      <c r="E22" s="11">
        <v>1882.0</v>
      </c>
      <c r="F22" s="11">
        <v>7526.0</v>
      </c>
      <c r="G22" s="11" t="s">
        <v>51</v>
      </c>
      <c r="H22" s="11" t="s">
        <v>52</v>
      </c>
      <c r="I22" s="11">
        <v>2500.0</v>
      </c>
      <c r="J22" s="11">
        <v>8.5</v>
      </c>
      <c r="K22" s="11" t="s">
        <v>44</v>
      </c>
      <c r="L22" s="9" t="s">
        <v>53</v>
      </c>
    </row>
    <row r="23" ht="15.75" customHeight="1">
      <c r="B23" s="9" t="s">
        <v>64</v>
      </c>
      <c r="C23" s="9">
        <v>81.5</v>
      </c>
      <c r="D23" s="10">
        <v>81.7</v>
      </c>
      <c r="E23" s="11">
        <v>1704.0</v>
      </c>
      <c r="F23" s="11">
        <v>9944.0</v>
      </c>
      <c r="G23" s="11" t="s">
        <v>51</v>
      </c>
      <c r="H23" s="11" t="s">
        <v>52</v>
      </c>
      <c r="I23" s="11">
        <v>2200.0</v>
      </c>
      <c r="J23" s="11">
        <v>7.2</v>
      </c>
      <c r="K23" s="11" t="s">
        <v>44</v>
      </c>
      <c r="L23" s="9" t="s">
        <v>53</v>
      </c>
    </row>
    <row r="24" ht="15.75" customHeight="1">
      <c r="B24" s="9" t="s">
        <v>65</v>
      </c>
      <c r="C24" s="9">
        <v>81.5</v>
      </c>
      <c r="D24" s="10">
        <v>81.64</v>
      </c>
      <c r="E24" s="11">
        <v>1921.0</v>
      </c>
      <c r="F24" s="11">
        <v>7504.0</v>
      </c>
      <c r="G24" s="11" t="s">
        <v>51</v>
      </c>
      <c r="H24" s="11" t="s">
        <v>52</v>
      </c>
      <c r="I24" s="11">
        <v>2500.0</v>
      </c>
      <c r="J24" s="11">
        <v>7.7</v>
      </c>
      <c r="K24" s="11" t="s">
        <v>34</v>
      </c>
      <c r="L24" s="9" t="s">
        <v>53</v>
      </c>
    </row>
    <row r="25" ht="15.75" customHeight="1">
      <c r="B25" s="9" t="s">
        <v>66</v>
      </c>
      <c r="C25" s="9">
        <v>81.3</v>
      </c>
      <c r="D25" s="10">
        <v>81.57</v>
      </c>
      <c r="E25" s="11">
        <v>1807.0</v>
      </c>
      <c r="F25" s="11">
        <v>9461.0</v>
      </c>
      <c r="G25" s="11" t="s">
        <v>31</v>
      </c>
      <c r="H25" s="11" t="s">
        <v>32</v>
      </c>
      <c r="I25" s="11">
        <v>2000.0</v>
      </c>
      <c r="J25" s="11">
        <v>7.1</v>
      </c>
      <c r="K25" s="11" t="s">
        <v>59</v>
      </c>
      <c r="L25" s="9" t="s">
        <v>36</v>
      </c>
    </row>
    <row r="26" ht="15.75" customHeight="1">
      <c r="B26" s="9" t="s">
        <v>67</v>
      </c>
      <c r="C26" s="9">
        <v>81.3</v>
      </c>
      <c r="D26" s="10">
        <v>81.51</v>
      </c>
      <c r="E26" s="11">
        <v>1922.0</v>
      </c>
      <c r="F26" s="11">
        <v>8530.0</v>
      </c>
      <c r="G26" s="11" t="s">
        <v>31</v>
      </c>
      <c r="H26" s="11" t="s">
        <v>52</v>
      </c>
      <c r="I26" s="11">
        <v>2200.0</v>
      </c>
      <c r="J26" s="11">
        <v>7.4</v>
      </c>
      <c r="K26" s="11" t="s">
        <v>59</v>
      </c>
      <c r="L26" s="9" t="s">
        <v>36</v>
      </c>
    </row>
    <row r="27" ht="15.75" customHeight="1">
      <c r="B27" s="9" t="s">
        <v>69</v>
      </c>
      <c r="C27" s="9">
        <v>81.2</v>
      </c>
      <c r="D27" s="10">
        <v>81.44</v>
      </c>
      <c r="E27" s="11">
        <v>1926.0</v>
      </c>
      <c r="F27" s="11">
        <v>9147.0</v>
      </c>
      <c r="G27" s="11" t="s">
        <v>51</v>
      </c>
      <c r="H27" s="11" t="s">
        <v>52</v>
      </c>
      <c r="I27" s="11">
        <v>2500.0</v>
      </c>
      <c r="J27" s="11">
        <v>7.6</v>
      </c>
      <c r="K27" s="11" t="s">
        <v>44</v>
      </c>
      <c r="L27" s="9" t="s">
        <v>53</v>
      </c>
    </row>
    <row r="28" ht="15.75" customHeight="1">
      <c r="B28" s="9" t="s">
        <v>70</v>
      </c>
      <c r="C28" s="9">
        <v>81.3</v>
      </c>
      <c r="D28" s="10">
        <v>81.39</v>
      </c>
      <c r="E28" s="11">
        <v>1914.0</v>
      </c>
      <c r="F28" s="11">
        <v>11198.0</v>
      </c>
      <c r="G28" s="11" t="s">
        <v>31</v>
      </c>
      <c r="H28" s="11" t="s">
        <v>32</v>
      </c>
      <c r="I28" s="11">
        <v>2200.0</v>
      </c>
      <c r="J28" s="11">
        <v>7.1</v>
      </c>
      <c r="K28" s="11" t="s">
        <v>34</v>
      </c>
      <c r="L28" s="9" t="s">
        <v>36</v>
      </c>
    </row>
    <row r="29" ht="15.75" customHeight="1">
      <c r="B29" s="9" t="s">
        <v>71</v>
      </c>
      <c r="C29" s="9">
        <v>81.2</v>
      </c>
      <c r="D29" s="10">
        <v>81.33</v>
      </c>
      <c r="E29" s="11">
        <v>1933.0</v>
      </c>
      <c r="F29" s="11">
        <v>9385.0</v>
      </c>
      <c r="G29" s="11" t="s">
        <v>51</v>
      </c>
      <c r="H29" s="11" t="s">
        <v>52</v>
      </c>
      <c r="I29" s="11">
        <v>2200.0</v>
      </c>
      <c r="J29" s="11">
        <v>7.0</v>
      </c>
      <c r="K29" s="11" t="s">
        <v>34</v>
      </c>
      <c r="L29" s="9" t="s">
        <v>53</v>
      </c>
    </row>
    <row r="30" ht="15.75" customHeight="1">
      <c r="B30" s="9" t="s">
        <v>72</v>
      </c>
      <c r="C30" s="9">
        <v>81.1</v>
      </c>
      <c r="D30" s="10">
        <v>81.27</v>
      </c>
      <c r="E30" s="11">
        <v>1684.0</v>
      </c>
      <c r="F30" s="11">
        <v>7757.0</v>
      </c>
      <c r="G30" s="11" t="s">
        <v>31</v>
      </c>
      <c r="H30" s="11" t="s">
        <v>40</v>
      </c>
      <c r="I30" s="11">
        <v>2200.0</v>
      </c>
      <c r="J30" s="11">
        <v>7.4</v>
      </c>
      <c r="K30" s="11" t="s">
        <v>59</v>
      </c>
      <c r="L30" s="9" t="s">
        <v>36</v>
      </c>
    </row>
    <row r="31" ht="15.75" customHeight="1">
      <c r="B31" s="9" t="s">
        <v>77</v>
      </c>
      <c r="C31" s="9">
        <v>81.0</v>
      </c>
      <c r="D31" s="10">
        <v>81.2</v>
      </c>
      <c r="E31" s="11">
        <v>1926.0</v>
      </c>
      <c r="F31" s="11">
        <v>8583.0</v>
      </c>
      <c r="G31" s="11" t="s">
        <v>51</v>
      </c>
      <c r="H31" s="11" t="s">
        <v>52</v>
      </c>
      <c r="I31" s="11">
        <v>2800.0</v>
      </c>
      <c r="J31" s="11">
        <v>7.4</v>
      </c>
      <c r="K31" s="11" t="s">
        <v>59</v>
      </c>
      <c r="L31" s="9" t="s">
        <v>53</v>
      </c>
    </row>
    <row r="32" ht="15.75" customHeight="1">
      <c r="B32" s="9" t="s">
        <v>79</v>
      </c>
      <c r="C32" s="9">
        <v>81.1</v>
      </c>
      <c r="D32" s="10">
        <v>81.17</v>
      </c>
      <c r="E32" s="11">
        <v>1747.0</v>
      </c>
      <c r="F32" s="11">
        <v>8272.0</v>
      </c>
      <c r="G32" s="11" t="s">
        <v>31</v>
      </c>
      <c r="H32" s="11" t="s">
        <v>52</v>
      </c>
      <c r="I32" s="11">
        <v>2500.0</v>
      </c>
      <c r="J32" s="11">
        <v>7.6</v>
      </c>
      <c r="K32" s="11" t="s">
        <v>59</v>
      </c>
      <c r="L32" s="9" t="s">
        <v>36</v>
      </c>
    </row>
    <row r="33" ht="15.75" customHeight="1">
      <c r="B33" s="9" t="s">
        <v>80</v>
      </c>
      <c r="C33" s="9">
        <v>81.1</v>
      </c>
      <c r="D33" s="10">
        <v>81.14</v>
      </c>
      <c r="E33" s="11">
        <v>1700.0</v>
      </c>
      <c r="F33" s="11">
        <v>7996.0</v>
      </c>
      <c r="G33" s="11" t="s">
        <v>31</v>
      </c>
      <c r="H33" s="11" t="s">
        <v>46</v>
      </c>
      <c r="I33" s="11">
        <v>2000.0</v>
      </c>
      <c r="J33" s="11">
        <v>7.4</v>
      </c>
      <c r="K33" s="11" t="s">
        <v>44</v>
      </c>
      <c r="L33" s="9" t="s">
        <v>36</v>
      </c>
    </row>
    <row r="34" ht="15.75" customHeight="1">
      <c r="B34" s="9" t="s">
        <v>81</v>
      </c>
      <c r="C34" s="9">
        <v>81.1</v>
      </c>
      <c r="D34" s="10">
        <v>81.13</v>
      </c>
      <c r="E34" s="11">
        <v>1879.0</v>
      </c>
      <c r="F34" s="11">
        <v>8648.0</v>
      </c>
      <c r="G34" s="11" t="s">
        <v>31</v>
      </c>
      <c r="H34" s="11" t="s">
        <v>32</v>
      </c>
      <c r="I34" s="11">
        <v>2500.0</v>
      </c>
      <c r="J34" s="11">
        <v>7.7</v>
      </c>
      <c r="K34" s="11" t="s">
        <v>34</v>
      </c>
      <c r="L34" s="9" t="s">
        <v>36</v>
      </c>
    </row>
    <row r="35" ht="15.75" customHeight="1">
      <c r="B35" s="9" t="s">
        <v>82</v>
      </c>
      <c r="C35" s="9">
        <v>81.2</v>
      </c>
      <c r="D35" s="10">
        <v>81.11</v>
      </c>
      <c r="E35" s="11">
        <v>1931.0</v>
      </c>
      <c r="F35" s="11">
        <v>8302.0</v>
      </c>
      <c r="G35" s="11" t="s">
        <v>31</v>
      </c>
      <c r="H35" s="11" t="s">
        <v>40</v>
      </c>
      <c r="I35" s="11">
        <v>2000.0</v>
      </c>
      <c r="J35" s="11">
        <v>8.4</v>
      </c>
      <c r="K35" s="11" t="s">
        <v>44</v>
      </c>
      <c r="L35" s="9" t="s">
        <v>36</v>
      </c>
    </row>
    <row r="36" ht="15.75" customHeight="1">
      <c r="B36" s="9"/>
      <c r="C36" s="9"/>
      <c r="D36" s="10" t="str">
        <f t="shared" ref="D36:D65" si="1">IF(ISBLANK(C36), "", ROUND(AVERAGE(C30:C36), 2))</f>
        <v/>
      </c>
      <c r="E36" s="11"/>
      <c r="F36" s="11"/>
      <c r="G36" s="11"/>
      <c r="H36" s="11"/>
      <c r="I36" s="11"/>
      <c r="J36" s="11"/>
      <c r="K36" s="11"/>
      <c r="L36" s="9"/>
    </row>
    <row r="37" ht="15.75" customHeight="1">
      <c r="B37" s="9"/>
      <c r="C37" s="9"/>
      <c r="D37" s="10" t="str">
        <f t="shared" si="1"/>
        <v/>
      </c>
      <c r="E37" s="11"/>
      <c r="F37" s="11"/>
      <c r="G37" s="11"/>
      <c r="H37" s="11"/>
      <c r="I37" s="11"/>
      <c r="J37" s="11"/>
      <c r="K37" s="11"/>
      <c r="L37" s="9"/>
    </row>
    <row r="38" ht="15.75" customHeight="1">
      <c r="B38" s="9"/>
      <c r="C38" s="9"/>
      <c r="D38" s="10" t="str">
        <f t="shared" si="1"/>
        <v/>
      </c>
      <c r="E38" s="11"/>
      <c r="F38" s="11"/>
      <c r="G38" s="11"/>
      <c r="H38" s="11"/>
      <c r="I38" s="11"/>
      <c r="J38" s="11"/>
      <c r="K38" s="11"/>
      <c r="L38" s="9"/>
    </row>
    <row r="39" ht="15.75" customHeight="1">
      <c r="B39" s="9"/>
      <c r="C39" s="9"/>
      <c r="D39" s="10" t="str">
        <f t="shared" si="1"/>
        <v/>
      </c>
      <c r="E39" s="11"/>
      <c r="F39" s="11"/>
      <c r="G39" s="11"/>
      <c r="H39" s="11"/>
      <c r="I39" s="11"/>
      <c r="J39" s="11"/>
      <c r="K39" s="11"/>
      <c r="L39" s="9"/>
    </row>
    <row r="40" ht="15.75" customHeight="1">
      <c r="B40" s="9"/>
      <c r="C40" s="9"/>
      <c r="D40" s="10" t="str">
        <f t="shared" si="1"/>
        <v/>
      </c>
      <c r="E40" s="11"/>
      <c r="F40" s="11"/>
      <c r="G40" s="11"/>
      <c r="H40" s="11"/>
      <c r="I40" s="11"/>
      <c r="J40" s="11"/>
      <c r="K40" s="11"/>
      <c r="L40" s="9"/>
    </row>
    <row r="41" ht="15.75" customHeight="1">
      <c r="B41" s="9"/>
      <c r="C41" s="9"/>
      <c r="D41" s="10" t="str">
        <f t="shared" si="1"/>
        <v/>
      </c>
      <c r="E41" s="11"/>
      <c r="F41" s="11"/>
      <c r="G41" s="11"/>
      <c r="H41" s="11"/>
      <c r="I41" s="11"/>
      <c r="J41" s="11"/>
      <c r="K41" s="11"/>
      <c r="L41" s="9"/>
    </row>
    <row r="42" ht="15.75" customHeight="1">
      <c r="B42" s="9"/>
      <c r="C42" s="9"/>
      <c r="D42" s="10" t="str">
        <f t="shared" si="1"/>
        <v/>
      </c>
      <c r="E42" s="11"/>
      <c r="F42" s="11"/>
      <c r="G42" s="11"/>
      <c r="H42" s="11"/>
      <c r="I42" s="11"/>
      <c r="J42" s="11"/>
      <c r="K42" s="11"/>
      <c r="L42" s="9"/>
    </row>
    <row r="43" ht="15.75" customHeight="1">
      <c r="B43" s="9"/>
      <c r="C43" s="9"/>
      <c r="D43" s="10" t="str">
        <f t="shared" si="1"/>
        <v/>
      </c>
      <c r="E43" s="11"/>
      <c r="F43" s="11"/>
      <c r="G43" s="11"/>
      <c r="H43" s="11"/>
      <c r="I43" s="11"/>
      <c r="J43" s="11"/>
      <c r="K43" s="11"/>
      <c r="L43" s="9"/>
    </row>
    <row r="44" ht="15.75" customHeight="1">
      <c r="B44" s="9"/>
      <c r="C44" s="9"/>
      <c r="D44" s="10" t="str">
        <f t="shared" si="1"/>
        <v/>
      </c>
      <c r="E44" s="11"/>
      <c r="F44" s="11"/>
      <c r="G44" s="11"/>
      <c r="H44" s="11"/>
      <c r="I44" s="11"/>
      <c r="J44" s="11"/>
      <c r="K44" s="11"/>
      <c r="L44" s="9"/>
    </row>
    <row r="45" ht="15.75" customHeight="1">
      <c r="B45" s="9"/>
      <c r="C45" s="9"/>
      <c r="D45" s="10" t="str">
        <f t="shared" si="1"/>
        <v/>
      </c>
      <c r="E45" s="11"/>
      <c r="F45" s="11"/>
      <c r="G45" s="11"/>
      <c r="H45" s="11"/>
      <c r="I45" s="11"/>
      <c r="J45" s="11"/>
      <c r="K45" s="11"/>
      <c r="L45" s="9"/>
    </row>
    <row r="46" ht="15.75" customHeight="1">
      <c r="B46" s="9"/>
      <c r="C46" s="9"/>
      <c r="D46" s="10" t="str">
        <f t="shared" si="1"/>
        <v/>
      </c>
      <c r="E46" s="11"/>
      <c r="F46" s="11"/>
      <c r="G46" s="11"/>
      <c r="H46" s="11"/>
      <c r="I46" s="11"/>
      <c r="J46" s="11"/>
      <c r="K46" s="11"/>
      <c r="L46" s="9"/>
    </row>
    <row r="47" ht="15.75" customHeight="1">
      <c r="B47" s="9"/>
      <c r="C47" s="9"/>
      <c r="D47" s="10" t="str">
        <f t="shared" si="1"/>
        <v/>
      </c>
      <c r="E47" s="11"/>
      <c r="F47" s="11"/>
      <c r="G47" s="11"/>
      <c r="H47" s="11"/>
      <c r="I47" s="11"/>
      <c r="J47" s="11"/>
      <c r="K47" s="11"/>
      <c r="L47" s="9"/>
    </row>
    <row r="48" ht="15.75" customHeight="1">
      <c r="B48" s="9"/>
      <c r="C48" s="9"/>
      <c r="D48" s="10" t="str">
        <f t="shared" si="1"/>
        <v/>
      </c>
      <c r="E48" s="11"/>
      <c r="F48" s="11"/>
      <c r="G48" s="11"/>
      <c r="H48" s="11"/>
      <c r="I48" s="11"/>
      <c r="J48" s="11"/>
      <c r="K48" s="11"/>
      <c r="L48" s="9"/>
    </row>
    <row r="49" ht="15.75" customHeight="1">
      <c r="B49" s="9"/>
      <c r="C49" s="9"/>
      <c r="D49" s="10" t="str">
        <f t="shared" si="1"/>
        <v/>
      </c>
      <c r="E49" s="11"/>
      <c r="F49" s="11"/>
      <c r="G49" s="11"/>
      <c r="H49" s="11"/>
      <c r="I49" s="11"/>
      <c r="J49" s="11"/>
      <c r="K49" s="11"/>
      <c r="L49" s="9"/>
    </row>
    <row r="50" ht="15.75" customHeight="1">
      <c r="B50" s="9"/>
      <c r="C50" s="9"/>
      <c r="D50" s="10" t="str">
        <f t="shared" si="1"/>
        <v/>
      </c>
      <c r="E50" s="11"/>
      <c r="F50" s="11"/>
      <c r="G50" s="11"/>
      <c r="H50" s="11"/>
      <c r="I50" s="11"/>
      <c r="J50" s="11"/>
      <c r="K50" s="11"/>
      <c r="L50" s="9"/>
    </row>
    <row r="51" ht="15.75" customHeight="1">
      <c r="B51" s="9"/>
      <c r="C51" s="9"/>
      <c r="D51" s="10" t="str">
        <f t="shared" si="1"/>
        <v/>
      </c>
      <c r="E51" s="11"/>
      <c r="F51" s="11"/>
      <c r="G51" s="11"/>
      <c r="H51" s="11"/>
      <c r="I51" s="11"/>
      <c r="J51" s="11"/>
      <c r="K51" s="11"/>
      <c r="L51" s="9"/>
    </row>
    <row r="52" ht="15.75" customHeight="1">
      <c r="B52" s="9"/>
      <c r="C52" s="9"/>
      <c r="D52" s="10" t="str">
        <f t="shared" si="1"/>
        <v/>
      </c>
      <c r="E52" s="11"/>
      <c r="F52" s="11"/>
      <c r="G52" s="11"/>
      <c r="H52" s="11"/>
      <c r="I52" s="11"/>
      <c r="J52" s="11"/>
      <c r="K52" s="11"/>
      <c r="L52" s="9"/>
    </row>
    <row r="53" ht="15.75" customHeight="1">
      <c r="B53" s="9"/>
      <c r="C53" s="9"/>
      <c r="D53" s="10" t="str">
        <f t="shared" si="1"/>
        <v/>
      </c>
      <c r="E53" s="11"/>
      <c r="F53" s="11"/>
      <c r="G53" s="11"/>
      <c r="H53" s="11"/>
      <c r="I53" s="11"/>
      <c r="J53" s="11"/>
      <c r="K53" s="11"/>
      <c r="L53" s="9"/>
    </row>
    <row r="54" ht="15.75" customHeight="1">
      <c r="B54" s="9"/>
      <c r="C54" s="9"/>
      <c r="D54" s="10" t="str">
        <f t="shared" si="1"/>
        <v/>
      </c>
      <c r="E54" s="11"/>
      <c r="F54" s="11"/>
      <c r="G54" s="11"/>
      <c r="H54" s="11"/>
      <c r="I54" s="11"/>
      <c r="J54" s="11"/>
      <c r="K54" s="11"/>
      <c r="L54" s="9"/>
    </row>
    <row r="55" ht="15.75" customHeight="1">
      <c r="B55" s="9"/>
      <c r="C55" s="9"/>
      <c r="D55" s="10" t="str">
        <f t="shared" si="1"/>
        <v/>
      </c>
      <c r="E55" s="11"/>
      <c r="F55" s="11"/>
      <c r="G55" s="11"/>
      <c r="H55" s="11"/>
      <c r="I55" s="11"/>
      <c r="J55" s="11"/>
      <c r="K55" s="11"/>
      <c r="L55" s="9"/>
    </row>
    <row r="56" ht="15.75" customHeight="1">
      <c r="B56" s="9"/>
      <c r="C56" s="9"/>
      <c r="D56" s="10" t="str">
        <f t="shared" si="1"/>
        <v/>
      </c>
      <c r="E56" s="11"/>
      <c r="F56" s="11"/>
      <c r="G56" s="11"/>
      <c r="H56" s="11"/>
      <c r="I56" s="11"/>
      <c r="J56" s="11"/>
      <c r="K56" s="11"/>
      <c r="L56" s="9"/>
    </row>
    <row r="57" ht="15.75" customHeight="1">
      <c r="B57" s="9"/>
      <c r="C57" s="9"/>
      <c r="D57" s="10" t="str">
        <f t="shared" si="1"/>
        <v/>
      </c>
      <c r="E57" s="11"/>
      <c r="F57" s="11"/>
      <c r="G57" s="11"/>
      <c r="H57" s="11"/>
      <c r="I57" s="11"/>
      <c r="J57" s="11"/>
      <c r="K57" s="11"/>
      <c r="L57" s="9"/>
    </row>
    <row r="58" ht="15.75" customHeight="1">
      <c r="B58" s="9"/>
      <c r="C58" s="9"/>
      <c r="D58" s="10" t="str">
        <f t="shared" si="1"/>
        <v/>
      </c>
      <c r="E58" s="11"/>
      <c r="F58" s="11"/>
      <c r="G58" s="11"/>
      <c r="H58" s="11"/>
      <c r="I58" s="11"/>
      <c r="J58" s="11"/>
      <c r="K58" s="11"/>
      <c r="L58" s="9"/>
    </row>
    <row r="59" ht="15.75" customHeight="1">
      <c r="B59" s="9"/>
      <c r="C59" s="9"/>
      <c r="D59" s="10" t="str">
        <f t="shared" si="1"/>
        <v/>
      </c>
      <c r="E59" s="11"/>
      <c r="F59" s="11"/>
      <c r="G59" s="11"/>
      <c r="H59" s="11"/>
      <c r="I59" s="11"/>
      <c r="J59" s="11"/>
      <c r="K59" s="11"/>
      <c r="L59" s="9"/>
    </row>
    <row r="60" ht="15.75" customHeight="1">
      <c r="B60" s="9"/>
      <c r="C60" s="9"/>
      <c r="D60" s="10" t="str">
        <f t="shared" si="1"/>
        <v/>
      </c>
      <c r="E60" s="11"/>
      <c r="F60" s="11"/>
      <c r="G60" s="11"/>
      <c r="H60" s="11"/>
      <c r="I60" s="11"/>
      <c r="J60" s="11"/>
      <c r="K60" s="11"/>
      <c r="L60" s="9"/>
    </row>
    <row r="61" ht="15.75" customHeight="1">
      <c r="B61" s="9"/>
      <c r="C61" s="9"/>
      <c r="D61" s="10" t="str">
        <f t="shared" si="1"/>
        <v/>
      </c>
      <c r="E61" s="11"/>
      <c r="F61" s="11"/>
      <c r="G61" s="11"/>
      <c r="H61" s="11"/>
      <c r="I61" s="11"/>
      <c r="J61" s="11"/>
      <c r="K61" s="11"/>
      <c r="L61" s="9"/>
    </row>
    <row r="62" ht="15.75" customHeight="1">
      <c r="B62" s="9"/>
      <c r="C62" s="9"/>
      <c r="D62" s="10" t="str">
        <f t="shared" si="1"/>
        <v/>
      </c>
      <c r="E62" s="11"/>
      <c r="F62" s="11"/>
      <c r="G62" s="11"/>
      <c r="H62" s="11"/>
      <c r="I62" s="11"/>
      <c r="J62" s="11"/>
      <c r="K62" s="11"/>
      <c r="L62" s="9"/>
    </row>
    <row r="63" ht="15.75" customHeight="1">
      <c r="B63" s="9"/>
      <c r="C63" s="9"/>
      <c r="D63" s="10" t="str">
        <f t="shared" si="1"/>
        <v/>
      </c>
      <c r="E63" s="11"/>
      <c r="F63" s="11"/>
      <c r="G63" s="11"/>
      <c r="H63" s="11"/>
      <c r="I63" s="11"/>
      <c r="J63" s="11"/>
      <c r="K63" s="11"/>
      <c r="L63" s="9"/>
    </row>
    <row r="64" ht="15.75" customHeight="1">
      <c r="B64" s="9"/>
      <c r="C64" s="9"/>
      <c r="D64" s="10" t="str">
        <f t="shared" si="1"/>
        <v/>
      </c>
      <c r="E64" s="11"/>
      <c r="F64" s="11"/>
      <c r="G64" s="11"/>
      <c r="H64" s="11"/>
      <c r="I64" s="11"/>
      <c r="J64" s="11"/>
      <c r="K64" s="11"/>
      <c r="L64" s="9"/>
    </row>
    <row r="65" ht="15.75" customHeight="1">
      <c r="B65" s="9"/>
      <c r="C65" s="9"/>
      <c r="D65" s="10" t="str">
        <f t="shared" si="1"/>
        <v/>
      </c>
      <c r="E65" s="11"/>
      <c r="F65" s="11"/>
      <c r="G65" s="11"/>
      <c r="H65" s="11"/>
      <c r="I65" s="11"/>
      <c r="J65" s="11"/>
      <c r="K65" s="11"/>
      <c r="L65" s="9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0"/>
    <col customWidth="1" min="3" max="3" width="18.0"/>
    <col customWidth="1" min="4" max="26" width="8.71"/>
  </cols>
  <sheetData>
    <row r="2">
      <c r="B2" s="1" t="s">
        <v>0</v>
      </c>
    </row>
    <row r="3">
      <c r="B3" s="2" t="s">
        <v>2</v>
      </c>
    </row>
    <row r="5">
      <c r="B5" s="3" t="s">
        <v>4</v>
      </c>
      <c r="C5" s="3" t="s">
        <v>6</v>
      </c>
    </row>
    <row r="6">
      <c r="B6" s="4" t="s">
        <v>7</v>
      </c>
      <c r="C6" s="6">
        <v>85.5</v>
      </c>
    </row>
    <row r="7">
      <c r="B7" s="7" t="s">
        <v>11</v>
      </c>
      <c r="C7" s="8">
        <v>72.0</v>
      </c>
    </row>
    <row r="8">
      <c r="B8" s="4" t="s">
        <v>18</v>
      </c>
      <c r="C8" s="8" t="s">
        <v>20</v>
      </c>
    </row>
    <row r="9">
      <c r="B9" s="7" t="s">
        <v>21</v>
      </c>
      <c r="C9" s="8" t="s">
        <v>22</v>
      </c>
    </row>
    <row r="10">
      <c r="B10" s="4" t="s">
        <v>23</v>
      </c>
      <c r="C10" s="8">
        <v>1800.0</v>
      </c>
    </row>
    <row r="11">
      <c r="B11" s="7" t="s">
        <v>24</v>
      </c>
      <c r="C11" s="8">
        <v>10000.0</v>
      </c>
    </row>
    <row r="12">
      <c r="B12" s="4" t="s">
        <v>25</v>
      </c>
      <c r="C12" s="8">
        <v>2500.0</v>
      </c>
    </row>
    <row r="13">
      <c r="B13" s="7" t="s">
        <v>26</v>
      </c>
      <c r="C13" s="8">
        <v>4.0</v>
      </c>
    </row>
    <row r="14">
      <c r="B14" s="4" t="s">
        <v>28</v>
      </c>
      <c r="C14" s="8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3" width="30.0"/>
    <col customWidth="1" min="4" max="4" width="18.0"/>
    <col customWidth="1" min="5" max="5" width="25.0"/>
    <col customWidth="1" min="6" max="26" width="8.71"/>
  </cols>
  <sheetData>
    <row r="2">
      <c r="B2" s="1" t="s">
        <v>27</v>
      </c>
    </row>
    <row r="3">
      <c r="B3" s="2" t="s">
        <v>29</v>
      </c>
    </row>
    <row r="5">
      <c r="B5" s="5" t="s">
        <v>30</v>
      </c>
      <c r="C5" s="5" t="s">
        <v>33</v>
      </c>
      <c r="D5" s="5" t="s">
        <v>35</v>
      </c>
      <c r="E5" s="5" t="s">
        <v>38</v>
      </c>
    </row>
    <row r="6">
      <c r="B6" s="12" t="s">
        <v>39</v>
      </c>
      <c r="C6" s="12" t="s">
        <v>42</v>
      </c>
      <c r="D6" s="13">
        <f>MIN('05 — Example Data'!C6:C35)</f>
        <v>81</v>
      </c>
      <c r="E6" s="8">
        <f>'03 — Goals &amp; Settings'!C7</f>
        <v>72</v>
      </c>
    </row>
    <row r="7">
      <c r="B7" s="14" t="s">
        <v>39</v>
      </c>
      <c r="C7" s="14" t="s">
        <v>62</v>
      </c>
      <c r="D7" s="13">
        <f>MAX('05 — Example Data'!C6:C35)</f>
        <v>82.5</v>
      </c>
      <c r="E7" s="8">
        <f>'03 — Goals &amp; Settings'!C6</f>
        <v>85.5</v>
      </c>
    </row>
    <row r="8">
      <c r="B8" s="12" t="s">
        <v>39</v>
      </c>
      <c r="C8" s="12" t="s">
        <v>68</v>
      </c>
      <c r="D8" s="13">
        <f>'03 — Goals &amp; Settings'!C6 - '01 — Dashboard'!D6</f>
        <v>3</v>
      </c>
      <c r="E8" s="8" t="s">
        <v>73</v>
      </c>
    </row>
    <row r="9">
      <c r="B9" s="14" t="s">
        <v>74</v>
      </c>
      <c r="C9" s="14" t="s">
        <v>75</v>
      </c>
      <c r="D9" s="13">
        <f>ROUND(AVERAGE('05 — Example Data'!E6:E35),0)</f>
        <v>1827</v>
      </c>
      <c r="E9" s="8">
        <f>'03 — Goals &amp; Settings'!C10</f>
        <v>1800</v>
      </c>
    </row>
    <row r="10">
      <c r="B10" s="12" t="s">
        <v>74</v>
      </c>
      <c r="C10" s="12" t="s">
        <v>83</v>
      </c>
      <c r="D10" s="13">
        <f>COUNTIFS('05 — Example Data'!E6:E35, "&gt;=1700", '05 — Example Data'!E6:E35, "&lt;=1900")</f>
        <v>12</v>
      </c>
      <c r="E10" s="8" t="s">
        <v>84</v>
      </c>
    </row>
    <row r="11">
      <c r="B11" s="14" t="s">
        <v>85</v>
      </c>
      <c r="C11" s="14" t="s">
        <v>86</v>
      </c>
      <c r="D11" s="13">
        <f>ROUND(AVERAGE('05 — Example Data'!F6:F35),0)</f>
        <v>9447</v>
      </c>
      <c r="E11" s="8">
        <f>'03 — Goals &amp; Settings'!C11</f>
        <v>10000</v>
      </c>
    </row>
    <row r="12">
      <c r="B12" s="12" t="s">
        <v>85</v>
      </c>
      <c r="C12" s="12" t="s">
        <v>87</v>
      </c>
      <c r="D12" s="18">
        <f>ROUND(COUNTIF('05 — Example Data'!G6:G35, "Yes")/COUNTA('05 — Example Data'!G6:G35), 2)</f>
        <v>0.7</v>
      </c>
      <c r="E12" s="8" t="s">
        <v>88</v>
      </c>
    </row>
    <row r="13">
      <c r="B13" s="14" t="s">
        <v>89</v>
      </c>
      <c r="C13" s="14" t="s">
        <v>90</v>
      </c>
      <c r="D13" s="13">
        <f>ROUND(AVERAGE('05 — Example Data'!J6:J35), 1)</f>
        <v>7.7</v>
      </c>
      <c r="E13" s="8">
        <f>'03 — Goals &amp; Settings'!C14</f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3" width="14.0"/>
    <col customWidth="1" min="4" max="5" width="15.0"/>
    <col customWidth="1" min="6" max="6" width="14.0"/>
    <col customWidth="1" min="7" max="7" width="20.0"/>
    <col customWidth="1" min="8" max="8" width="18.0"/>
    <col customWidth="1" min="9" max="9" width="16.0"/>
    <col customWidth="1" min="10" max="11" width="14.0"/>
    <col customWidth="1" min="12" max="12" width="25.0"/>
    <col customWidth="1" min="13" max="26" width="8.71"/>
  </cols>
  <sheetData>
    <row r="2">
      <c r="B2" s="1" t="s">
        <v>76</v>
      </c>
    </row>
    <row r="3">
      <c r="B3" s="2" t="s">
        <v>78</v>
      </c>
    </row>
    <row r="5" ht="27.75" customHeight="1">
      <c r="B5" s="5" t="s">
        <v>5</v>
      </c>
      <c r="C5" s="5" t="s">
        <v>8</v>
      </c>
      <c r="D5" s="5" t="s">
        <v>9</v>
      </c>
      <c r="E5" s="5" t="s">
        <v>10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19</v>
      </c>
    </row>
    <row r="6" ht="19.5" customHeight="1">
      <c r="B6" s="8" t="s">
        <v>20</v>
      </c>
      <c r="C6" s="8">
        <v>82.5</v>
      </c>
      <c r="D6" s="8">
        <f>ROUND(AVERAGE(C6), 2)</f>
        <v>82.5</v>
      </c>
      <c r="E6" s="8">
        <v>1662.0</v>
      </c>
      <c r="F6" s="8">
        <v>9753.0</v>
      </c>
      <c r="G6" s="8" t="s">
        <v>31</v>
      </c>
      <c r="H6" s="15" t="s">
        <v>32</v>
      </c>
      <c r="I6" s="8">
        <v>2200.0</v>
      </c>
      <c r="J6" s="8">
        <v>8.1</v>
      </c>
      <c r="K6" s="8" t="s">
        <v>34</v>
      </c>
      <c r="L6" s="15" t="s">
        <v>36</v>
      </c>
    </row>
    <row r="7" ht="19.5" customHeight="1">
      <c r="B7" s="16" t="s">
        <v>37</v>
      </c>
      <c r="C7" s="16">
        <v>82.5</v>
      </c>
      <c r="D7" s="16">
        <f>ROUND(AVERAGE(C6:C7), 2)</f>
        <v>82.5</v>
      </c>
      <c r="E7" s="16">
        <v>1866.0</v>
      </c>
      <c r="F7" s="16">
        <v>7760.0</v>
      </c>
      <c r="G7" s="16" t="s">
        <v>31</v>
      </c>
      <c r="H7" s="17" t="s">
        <v>40</v>
      </c>
      <c r="I7" s="16">
        <v>2200.0</v>
      </c>
      <c r="J7" s="16">
        <v>7.3</v>
      </c>
      <c r="K7" s="16" t="s">
        <v>34</v>
      </c>
      <c r="L7" s="17" t="s">
        <v>36</v>
      </c>
    </row>
    <row r="8" ht="19.5" customHeight="1">
      <c r="B8" s="8" t="s">
        <v>41</v>
      </c>
      <c r="C8" s="8">
        <v>82.4</v>
      </c>
      <c r="D8" s="8">
        <f>ROUND(AVERAGE(C6:C8), 2)</f>
        <v>82.47</v>
      </c>
      <c r="E8" s="8">
        <v>1751.0</v>
      </c>
      <c r="F8" s="8">
        <v>11964.0</v>
      </c>
      <c r="G8" s="8" t="s">
        <v>31</v>
      </c>
      <c r="H8" s="15" t="s">
        <v>32</v>
      </c>
      <c r="I8" s="8">
        <v>2800.0</v>
      </c>
      <c r="J8" s="8">
        <v>7.9</v>
      </c>
      <c r="K8" s="8" t="s">
        <v>34</v>
      </c>
      <c r="L8" s="15" t="s">
        <v>36</v>
      </c>
    </row>
    <row r="9" ht="19.5" customHeight="1">
      <c r="B9" s="16" t="s">
        <v>43</v>
      </c>
      <c r="C9" s="16">
        <v>82.3</v>
      </c>
      <c r="D9" s="16">
        <f>ROUND(AVERAGE(C6:C9), 2)</f>
        <v>82.43</v>
      </c>
      <c r="E9" s="16">
        <v>1866.0</v>
      </c>
      <c r="F9" s="16">
        <v>10287.0</v>
      </c>
      <c r="G9" s="16" t="s">
        <v>31</v>
      </c>
      <c r="H9" s="17" t="s">
        <v>32</v>
      </c>
      <c r="I9" s="16">
        <v>2200.0</v>
      </c>
      <c r="J9" s="16">
        <v>8.4</v>
      </c>
      <c r="K9" s="16" t="s">
        <v>44</v>
      </c>
      <c r="L9" s="17" t="s">
        <v>36</v>
      </c>
    </row>
    <row r="10" ht="19.5" customHeight="1">
      <c r="B10" s="8" t="s">
        <v>45</v>
      </c>
      <c r="C10" s="8">
        <v>82.3</v>
      </c>
      <c r="D10" s="8">
        <f>ROUND(AVERAGE(C6:C10), 2)</f>
        <v>82.4</v>
      </c>
      <c r="E10" s="8">
        <v>1697.0</v>
      </c>
      <c r="F10" s="8">
        <v>10612.0</v>
      </c>
      <c r="G10" s="8" t="s">
        <v>31</v>
      </c>
      <c r="H10" s="15" t="s">
        <v>46</v>
      </c>
      <c r="I10" s="8">
        <v>2500.0</v>
      </c>
      <c r="J10" s="8">
        <v>7.9</v>
      </c>
      <c r="K10" s="8" t="s">
        <v>34</v>
      </c>
      <c r="L10" s="15" t="s">
        <v>36</v>
      </c>
    </row>
    <row r="11" ht="19.5" customHeight="1">
      <c r="B11" s="16" t="s">
        <v>47</v>
      </c>
      <c r="C11" s="16">
        <v>82.4</v>
      </c>
      <c r="D11" s="16">
        <f>ROUND(AVERAGE(C6:C11), 2)</f>
        <v>82.4</v>
      </c>
      <c r="E11" s="16">
        <v>1924.0</v>
      </c>
      <c r="F11" s="16">
        <v>8522.0</v>
      </c>
      <c r="G11" s="16" t="s">
        <v>31</v>
      </c>
      <c r="H11" s="17" t="s">
        <v>40</v>
      </c>
      <c r="I11" s="16">
        <v>2500.0</v>
      </c>
      <c r="J11" s="16">
        <v>8.2</v>
      </c>
      <c r="K11" s="16" t="s">
        <v>44</v>
      </c>
      <c r="L11" s="17" t="s">
        <v>36</v>
      </c>
    </row>
    <row r="12" ht="19.5" customHeight="1">
      <c r="B12" s="8" t="s">
        <v>48</v>
      </c>
      <c r="C12" s="8">
        <v>82.4</v>
      </c>
      <c r="D12" s="8">
        <f t="shared" ref="D12:D35" si="1">ROUND(AVERAGE(C6:C12), 2)</f>
        <v>82.4</v>
      </c>
      <c r="E12" s="8">
        <v>1748.0</v>
      </c>
      <c r="F12" s="8">
        <v>8069.0</v>
      </c>
      <c r="G12" s="8" t="s">
        <v>31</v>
      </c>
      <c r="H12" s="15" t="s">
        <v>32</v>
      </c>
      <c r="I12" s="8">
        <v>2500.0</v>
      </c>
      <c r="J12" s="8">
        <v>8.5</v>
      </c>
      <c r="K12" s="8" t="s">
        <v>44</v>
      </c>
      <c r="L12" s="15" t="s">
        <v>36</v>
      </c>
    </row>
    <row r="13" ht="19.5" customHeight="1">
      <c r="B13" s="16" t="s">
        <v>49</v>
      </c>
      <c r="C13" s="16">
        <v>82.4</v>
      </c>
      <c r="D13" s="16">
        <f t="shared" si="1"/>
        <v>82.39</v>
      </c>
      <c r="E13" s="16">
        <v>1844.0</v>
      </c>
      <c r="F13" s="16">
        <v>9777.0</v>
      </c>
      <c r="G13" s="16" t="s">
        <v>31</v>
      </c>
      <c r="H13" s="17" t="s">
        <v>46</v>
      </c>
      <c r="I13" s="16">
        <v>2200.0</v>
      </c>
      <c r="J13" s="16">
        <v>7.6</v>
      </c>
      <c r="K13" s="16" t="s">
        <v>44</v>
      </c>
      <c r="L13" s="17" t="s">
        <v>36</v>
      </c>
    </row>
    <row r="14" ht="19.5" customHeight="1">
      <c r="B14" s="8" t="s">
        <v>50</v>
      </c>
      <c r="C14" s="8">
        <v>82.2</v>
      </c>
      <c r="D14" s="8">
        <f t="shared" si="1"/>
        <v>82.34</v>
      </c>
      <c r="E14" s="8">
        <v>1686.0</v>
      </c>
      <c r="F14" s="8">
        <v>12490.0</v>
      </c>
      <c r="G14" s="8" t="s">
        <v>51</v>
      </c>
      <c r="H14" s="15" t="s">
        <v>52</v>
      </c>
      <c r="I14" s="8">
        <v>2200.0</v>
      </c>
      <c r="J14" s="8">
        <v>7.8</v>
      </c>
      <c r="K14" s="8" t="s">
        <v>44</v>
      </c>
      <c r="L14" s="15" t="s">
        <v>53</v>
      </c>
    </row>
    <row r="15" ht="19.5" customHeight="1">
      <c r="B15" s="16" t="s">
        <v>54</v>
      </c>
      <c r="C15" s="16">
        <v>82.1</v>
      </c>
      <c r="D15" s="16">
        <f t="shared" si="1"/>
        <v>82.3</v>
      </c>
      <c r="E15" s="16">
        <v>1886.0</v>
      </c>
      <c r="F15" s="16">
        <v>10608.0</v>
      </c>
      <c r="G15" s="16" t="s">
        <v>31</v>
      </c>
      <c r="H15" s="17" t="s">
        <v>32</v>
      </c>
      <c r="I15" s="16">
        <v>2500.0</v>
      </c>
      <c r="J15" s="16">
        <v>8.3</v>
      </c>
      <c r="K15" s="16" t="s">
        <v>34</v>
      </c>
      <c r="L15" s="17" t="s">
        <v>36</v>
      </c>
    </row>
    <row r="16" ht="19.5" customHeight="1">
      <c r="B16" s="8" t="s">
        <v>55</v>
      </c>
      <c r="C16" s="8">
        <v>82.0</v>
      </c>
      <c r="D16" s="8">
        <f t="shared" si="1"/>
        <v>82.26</v>
      </c>
      <c r="E16" s="8">
        <v>1666.0</v>
      </c>
      <c r="F16" s="8">
        <v>10084.0</v>
      </c>
      <c r="G16" s="8" t="s">
        <v>31</v>
      </c>
      <c r="H16" s="15" t="s">
        <v>46</v>
      </c>
      <c r="I16" s="8">
        <v>2000.0</v>
      </c>
      <c r="J16" s="8">
        <v>7.3</v>
      </c>
      <c r="K16" s="8" t="s">
        <v>44</v>
      </c>
      <c r="L16" s="15" t="s">
        <v>36</v>
      </c>
    </row>
    <row r="17" ht="19.5" customHeight="1">
      <c r="B17" s="16" t="s">
        <v>56</v>
      </c>
      <c r="C17" s="16">
        <v>81.9</v>
      </c>
      <c r="D17" s="16">
        <f t="shared" si="1"/>
        <v>82.2</v>
      </c>
      <c r="E17" s="16">
        <v>1905.0</v>
      </c>
      <c r="F17" s="16">
        <v>10741.0</v>
      </c>
      <c r="G17" s="16" t="s">
        <v>51</v>
      </c>
      <c r="H17" s="17" t="s">
        <v>52</v>
      </c>
      <c r="I17" s="16">
        <v>2800.0</v>
      </c>
      <c r="J17" s="16">
        <v>7.2</v>
      </c>
      <c r="K17" s="16" t="s">
        <v>44</v>
      </c>
      <c r="L17" s="17" t="s">
        <v>53</v>
      </c>
    </row>
    <row r="18" ht="19.5" customHeight="1">
      <c r="B18" s="8" t="s">
        <v>57</v>
      </c>
      <c r="C18" s="8">
        <v>81.8</v>
      </c>
      <c r="D18" s="8">
        <f t="shared" si="1"/>
        <v>82.11</v>
      </c>
      <c r="E18" s="8">
        <v>1937.0</v>
      </c>
      <c r="F18" s="8">
        <v>11915.0</v>
      </c>
      <c r="G18" s="8" t="s">
        <v>31</v>
      </c>
      <c r="H18" s="15" t="s">
        <v>52</v>
      </c>
      <c r="I18" s="8">
        <v>2800.0</v>
      </c>
      <c r="J18" s="8">
        <v>7.5</v>
      </c>
      <c r="K18" s="8" t="s">
        <v>44</v>
      </c>
      <c r="L18" s="15" t="s">
        <v>36</v>
      </c>
    </row>
    <row r="19" ht="19.5" customHeight="1">
      <c r="B19" s="16" t="s">
        <v>58</v>
      </c>
      <c r="C19" s="16">
        <v>81.7</v>
      </c>
      <c r="D19" s="16">
        <f t="shared" si="1"/>
        <v>82.01</v>
      </c>
      <c r="E19" s="16">
        <v>1902.0</v>
      </c>
      <c r="F19" s="16">
        <v>8244.0</v>
      </c>
      <c r="G19" s="16" t="s">
        <v>31</v>
      </c>
      <c r="H19" s="17" t="s">
        <v>40</v>
      </c>
      <c r="I19" s="16">
        <v>2200.0</v>
      </c>
      <c r="J19" s="16">
        <v>7.9</v>
      </c>
      <c r="K19" s="16" t="s">
        <v>59</v>
      </c>
      <c r="L19" s="17" t="s">
        <v>36</v>
      </c>
    </row>
    <row r="20" ht="19.5" customHeight="1">
      <c r="B20" s="8" t="s">
        <v>60</v>
      </c>
      <c r="C20" s="8">
        <v>81.7</v>
      </c>
      <c r="D20" s="8">
        <f t="shared" si="1"/>
        <v>81.91</v>
      </c>
      <c r="E20" s="8">
        <v>1682.0</v>
      </c>
      <c r="F20" s="8">
        <v>10652.0</v>
      </c>
      <c r="G20" s="8" t="s">
        <v>31</v>
      </c>
      <c r="H20" s="15" t="s">
        <v>52</v>
      </c>
      <c r="I20" s="8">
        <v>2500.0</v>
      </c>
      <c r="J20" s="8">
        <v>8.5</v>
      </c>
      <c r="K20" s="8" t="s">
        <v>34</v>
      </c>
      <c r="L20" s="15" t="s">
        <v>36</v>
      </c>
    </row>
    <row r="21" ht="19.5" customHeight="1">
      <c r="B21" s="16" t="s">
        <v>61</v>
      </c>
      <c r="C21" s="16">
        <v>81.7</v>
      </c>
      <c r="D21" s="16">
        <f t="shared" si="1"/>
        <v>81.84</v>
      </c>
      <c r="E21" s="16">
        <v>1924.0</v>
      </c>
      <c r="F21" s="16">
        <v>9685.0</v>
      </c>
      <c r="G21" s="16" t="s">
        <v>51</v>
      </c>
      <c r="H21" s="17" t="s">
        <v>52</v>
      </c>
      <c r="I21" s="16">
        <v>2500.0</v>
      </c>
      <c r="J21" s="16">
        <v>7.2</v>
      </c>
      <c r="K21" s="16" t="s">
        <v>59</v>
      </c>
      <c r="L21" s="17" t="s">
        <v>53</v>
      </c>
    </row>
    <row r="22" ht="19.5" customHeight="1">
      <c r="B22" s="8" t="s">
        <v>63</v>
      </c>
      <c r="C22" s="8">
        <v>81.6</v>
      </c>
      <c r="D22" s="8">
        <f t="shared" si="1"/>
        <v>81.77</v>
      </c>
      <c r="E22" s="8">
        <v>1882.0</v>
      </c>
      <c r="F22" s="8">
        <v>7526.0</v>
      </c>
      <c r="G22" s="8" t="s">
        <v>51</v>
      </c>
      <c r="H22" s="15" t="s">
        <v>52</v>
      </c>
      <c r="I22" s="8">
        <v>2500.0</v>
      </c>
      <c r="J22" s="8">
        <v>8.5</v>
      </c>
      <c r="K22" s="8" t="s">
        <v>44</v>
      </c>
      <c r="L22" s="15" t="s">
        <v>53</v>
      </c>
    </row>
    <row r="23" ht="19.5" customHeight="1">
      <c r="B23" s="16" t="s">
        <v>64</v>
      </c>
      <c r="C23" s="16">
        <v>81.5</v>
      </c>
      <c r="D23" s="16">
        <f t="shared" si="1"/>
        <v>81.7</v>
      </c>
      <c r="E23" s="16">
        <v>1704.0</v>
      </c>
      <c r="F23" s="16">
        <v>9944.0</v>
      </c>
      <c r="G23" s="16" t="s">
        <v>51</v>
      </c>
      <c r="H23" s="17" t="s">
        <v>52</v>
      </c>
      <c r="I23" s="16">
        <v>2200.0</v>
      </c>
      <c r="J23" s="16">
        <v>7.2</v>
      </c>
      <c r="K23" s="16" t="s">
        <v>44</v>
      </c>
      <c r="L23" s="17" t="s">
        <v>53</v>
      </c>
    </row>
    <row r="24" ht="19.5" customHeight="1">
      <c r="B24" s="8" t="s">
        <v>65</v>
      </c>
      <c r="C24" s="8">
        <v>81.5</v>
      </c>
      <c r="D24" s="8">
        <f t="shared" si="1"/>
        <v>81.64</v>
      </c>
      <c r="E24" s="8">
        <v>1921.0</v>
      </c>
      <c r="F24" s="8">
        <v>7504.0</v>
      </c>
      <c r="G24" s="8" t="s">
        <v>51</v>
      </c>
      <c r="H24" s="15" t="s">
        <v>52</v>
      </c>
      <c r="I24" s="8">
        <v>2500.0</v>
      </c>
      <c r="J24" s="8">
        <v>7.7</v>
      </c>
      <c r="K24" s="8" t="s">
        <v>34</v>
      </c>
      <c r="L24" s="15" t="s">
        <v>53</v>
      </c>
    </row>
    <row r="25" ht="19.5" customHeight="1">
      <c r="B25" s="16" t="s">
        <v>66</v>
      </c>
      <c r="C25" s="16">
        <v>81.3</v>
      </c>
      <c r="D25" s="16">
        <f t="shared" si="1"/>
        <v>81.57</v>
      </c>
      <c r="E25" s="16">
        <v>1807.0</v>
      </c>
      <c r="F25" s="16">
        <v>9461.0</v>
      </c>
      <c r="G25" s="16" t="s">
        <v>31</v>
      </c>
      <c r="H25" s="17" t="s">
        <v>32</v>
      </c>
      <c r="I25" s="16">
        <v>2000.0</v>
      </c>
      <c r="J25" s="16">
        <v>7.1</v>
      </c>
      <c r="K25" s="16" t="s">
        <v>59</v>
      </c>
      <c r="L25" s="17" t="s">
        <v>36</v>
      </c>
    </row>
    <row r="26" ht="19.5" customHeight="1">
      <c r="B26" s="8" t="s">
        <v>67</v>
      </c>
      <c r="C26" s="8">
        <v>81.3</v>
      </c>
      <c r="D26" s="8">
        <f t="shared" si="1"/>
        <v>81.51</v>
      </c>
      <c r="E26" s="8">
        <v>1922.0</v>
      </c>
      <c r="F26" s="8">
        <v>8530.0</v>
      </c>
      <c r="G26" s="8" t="s">
        <v>31</v>
      </c>
      <c r="H26" s="15" t="s">
        <v>52</v>
      </c>
      <c r="I26" s="8">
        <v>2200.0</v>
      </c>
      <c r="J26" s="8">
        <v>7.4</v>
      </c>
      <c r="K26" s="8" t="s">
        <v>59</v>
      </c>
      <c r="L26" s="15" t="s">
        <v>36</v>
      </c>
    </row>
    <row r="27" ht="19.5" customHeight="1">
      <c r="B27" s="16" t="s">
        <v>69</v>
      </c>
      <c r="C27" s="16">
        <v>81.2</v>
      </c>
      <c r="D27" s="16">
        <f t="shared" si="1"/>
        <v>81.44</v>
      </c>
      <c r="E27" s="16">
        <v>1926.0</v>
      </c>
      <c r="F27" s="16">
        <v>9147.0</v>
      </c>
      <c r="G27" s="16" t="s">
        <v>51</v>
      </c>
      <c r="H27" s="17" t="s">
        <v>52</v>
      </c>
      <c r="I27" s="16">
        <v>2500.0</v>
      </c>
      <c r="J27" s="16">
        <v>7.6</v>
      </c>
      <c r="K27" s="16" t="s">
        <v>44</v>
      </c>
      <c r="L27" s="17" t="s">
        <v>53</v>
      </c>
    </row>
    <row r="28" ht="19.5" customHeight="1">
      <c r="B28" s="8" t="s">
        <v>70</v>
      </c>
      <c r="C28" s="8">
        <v>81.3</v>
      </c>
      <c r="D28" s="8">
        <f t="shared" si="1"/>
        <v>81.39</v>
      </c>
      <c r="E28" s="8">
        <v>1914.0</v>
      </c>
      <c r="F28" s="8">
        <v>11198.0</v>
      </c>
      <c r="G28" s="8" t="s">
        <v>31</v>
      </c>
      <c r="H28" s="15" t="s">
        <v>32</v>
      </c>
      <c r="I28" s="8">
        <v>2200.0</v>
      </c>
      <c r="J28" s="8">
        <v>7.1</v>
      </c>
      <c r="K28" s="8" t="s">
        <v>34</v>
      </c>
      <c r="L28" s="15" t="s">
        <v>36</v>
      </c>
    </row>
    <row r="29" ht="19.5" customHeight="1">
      <c r="B29" s="16" t="s">
        <v>71</v>
      </c>
      <c r="C29" s="16">
        <v>81.2</v>
      </c>
      <c r="D29" s="16">
        <f t="shared" si="1"/>
        <v>81.33</v>
      </c>
      <c r="E29" s="16">
        <v>1933.0</v>
      </c>
      <c r="F29" s="16">
        <v>9385.0</v>
      </c>
      <c r="G29" s="16" t="s">
        <v>51</v>
      </c>
      <c r="H29" s="17" t="s">
        <v>52</v>
      </c>
      <c r="I29" s="16">
        <v>2200.0</v>
      </c>
      <c r="J29" s="16">
        <v>7.0</v>
      </c>
      <c r="K29" s="16" t="s">
        <v>34</v>
      </c>
      <c r="L29" s="17" t="s">
        <v>53</v>
      </c>
    </row>
    <row r="30" ht="19.5" customHeight="1">
      <c r="B30" s="8" t="s">
        <v>72</v>
      </c>
      <c r="C30" s="8">
        <v>81.1</v>
      </c>
      <c r="D30" s="8">
        <f t="shared" si="1"/>
        <v>81.27</v>
      </c>
      <c r="E30" s="8">
        <v>1684.0</v>
      </c>
      <c r="F30" s="8">
        <v>7757.0</v>
      </c>
      <c r="G30" s="8" t="s">
        <v>31</v>
      </c>
      <c r="H30" s="15" t="s">
        <v>40</v>
      </c>
      <c r="I30" s="8">
        <v>2200.0</v>
      </c>
      <c r="J30" s="8">
        <v>7.4</v>
      </c>
      <c r="K30" s="8" t="s">
        <v>59</v>
      </c>
      <c r="L30" s="15" t="s">
        <v>36</v>
      </c>
    </row>
    <row r="31" ht="19.5" customHeight="1">
      <c r="B31" s="16" t="s">
        <v>77</v>
      </c>
      <c r="C31" s="16">
        <v>81.0</v>
      </c>
      <c r="D31" s="16">
        <f t="shared" si="1"/>
        <v>81.2</v>
      </c>
      <c r="E31" s="16">
        <v>1926.0</v>
      </c>
      <c r="F31" s="16">
        <v>8583.0</v>
      </c>
      <c r="G31" s="16" t="s">
        <v>51</v>
      </c>
      <c r="H31" s="17" t="s">
        <v>52</v>
      </c>
      <c r="I31" s="16">
        <v>2800.0</v>
      </c>
      <c r="J31" s="16">
        <v>7.4</v>
      </c>
      <c r="K31" s="16" t="s">
        <v>59</v>
      </c>
      <c r="L31" s="17" t="s">
        <v>53</v>
      </c>
    </row>
    <row r="32" ht="19.5" customHeight="1">
      <c r="B32" s="8" t="s">
        <v>79</v>
      </c>
      <c r="C32" s="8">
        <v>81.1</v>
      </c>
      <c r="D32" s="8">
        <f t="shared" si="1"/>
        <v>81.17</v>
      </c>
      <c r="E32" s="8">
        <v>1747.0</v>
      </c>
      <c r="F32" s="8">
        <v>8272.0</v>
      </c>
      <c r="G32" s="8" t="s">
        <v>31</v>
      </c>
      <c r="H32" s="15" t="s">
        <v>52</v>
      </c>
      <c r="I32" s="8">
        <v>2500.0</v>
      </c>
      <c r="J32" s="8">
        <v>7.6</v>
      </c>
      <c r="K32" s="8" t="s">
        <v>59</v>
      </c>
      <c r="L32" s="15" t="s">
        <v>36</v>
      </c>
    </row>
    <row r="33" ht="19.5" customHeight="1">
      <c r="B33" s="16" t="s">
        <v>80</v>
      </c>
      <c r="C33" s="16">
        <v>81.1</v>
      </c>
      <c r="D33" s="16">
        <f t="shared" si="1"/>
        <v>81.14</v>
      </c>
      <c r="E33" s="16">
        <v>1700.0</v>
      </c>
      <c r="F33" s="16">
        <v>7996.0</v>
      </c>
      <c r="G33" s="16" t="s">
        <v>31</v>
      </c>
      <c r="H33" s="17" t="s">
        <v>46</v>
      </c>
      <c r="I33" s="16">
        <v>2000.0</v>
      </c>
      <c r="J33" s="16">
        <v>7.4</v>
      </c>
      <c r="K33" s="16" t="s">
        <v>44</v>
      </c>
      <c r="L33" s="17" t="s">
        <v>36</v>
      </c>
    </row>
    <row r="34" ht="19.5" customHeight="1">
      <c r="B34" s="8" t="s">
        <v>81</v>
      </c>
      <c r="C34" s="8">
        <v>81.1</v>
      </c>
      <c r="D34" s="8">
        <f t="shared" si="1"/>
        <v>81.13</v>
      </c>
      <c r="E34" s="8">
        <v>1879.0</v>
      </c>
      <c r="F34" s="8">
        <v>8648.0</v>
      </c>
      <c r="G34" s="8" t="s">
        <v>31</v>
      </c>
      <c r="H34" s="15" t="s">
        <v>32</v>
      </c>
      <c r="I34" s="8">
        <v>2500.0</v>
      </c>
      <c r="J34" s="8">
        <v>7.7</v>
      </c>
      <c r="K34" s="8" t="s">
        <v>34</v>
      </c>
      <c r="L34" s="15" t="s">
        <v>36</v>
      </c>
    </row>
    <row r="35" ht="19.5" customHeight="1">
      <c r="B35" s="16" t="s">
        <v>82</v>
      </c>
      <c r="C35" s="16">
        <v>81.2</v>
      </c>
      <c r="D35" s="16">
        <f t="shared" si="1"/>
        <v>81.11</v>
      </c>
      <c r="E35" s="16">
        <v>1931.0</v>
      </c>
      <c r="F35" s="16">
        <v>8302.0</v>
      </c>
      <c r="G35" s="16" t="s">
        <v>31</v>
      </c>
      <c r="H35" s="17" t="s">
        <v>40</v>
      </c>
      <c r="I35" s="16">
        <v>2000.0</v>
      </c>
      <c r="J35" s="16">
        <v>8.4</v>
      </c>
      <c r="K35" s="16" t="s">
        <v>44</v>
      </c>
      <c r="L35" s="17" t="s">
        <v>36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26" width="8.71"/>
  </cols>
  <sheetData>
    <row r="2">
      <c r="B2" s="1" t="s">
        <v>91</v>
      </c>
    </row>
    <row r="3">
      <c r="B3" s="2" t="s">
        <v>92</v>
      </c>
    </row>
    <row r="5">
      <c r="B5" s="19" t="s">
        <v>93</v>
      </c>
      <c r="C5" s="20"/>
      <c r="D5" s="20"/>
      <c r="E5" s="20"/>
      <c r="F5" s="21"/>
    </row>
    <row r="6">
      <c r="B6" s="22" t="s">
        <v>94</v>
      </c>
    </row>
    <row r="7">
      <c r="B7" s="19" t="s">
        <v>95</v>
      </c>
      <c r="C7" s="20"/>
      <c r="D7" s="20"/>
      <c r="E7" s="20"/>
      <c r="F7" s="21"/>
    </row>
    <row r="8">
      <c r="B8" s="22" t="s">
        <v>96</v>
      </c>
    </row>
    <row r="9">
      <c r="B9" s="19" t="s">
        <v>97</v>
      </c>
      <c r="C9" s="20"/>
      <c r="D9" s="20"/>
      <c r="E9" s="20"/>
      <c r="F9" s="21"/>
    </row>
    <row r="10">
      <c r="B10" s="22" t="s">
        <v>98</v>
      </c>
    </row>
    <row r="11">
      <c r="B11" s="19" t="s">
        <v>99</v>
      </c>
      <c r="C11" s="20"/>
      <c r="D11" s="20"/>
      <c r="E11" s="20"/>
      <c r="F11" s="21"/>
    </row>
    <row r="12">
      <c r="B12" s="22" t="s">
        <v>100</v>
      </c>
    </row>
    <row r="13">
      <c r="B13" s="19" t="s">
        <v>101</v>
      </c>
      <c r="C13" s="20"/>
      <c r="D13" s="20"/>
      <c r="E13" s="20"/>
      <c r="F13" s="21"/>
    </row>
    <row r="14">
      <c r="B14" s="22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7:F7"/>
    <mergeCell ref="B8:F8"/>
    <mergeCell ref="B9:F9"/>
    <mergeCell ref="B10:F10"/>
    <mergeCell ref="B12:F12"/>
    <mergeCell ref="B13:F13"/>
    <mergeCell ref="B14:F14"/>
    <mergeCell ref="B5:F5"/>
    <mergeCell ref="B6:F6"/>
    <mergeCell ref="B11:F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2026-10-07T12:41:47Z</dcterms:created>
  <dc:creator>openpyxl</dc:creator>
</cp:coreProperties>
</file>